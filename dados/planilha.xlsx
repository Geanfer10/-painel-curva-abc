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6" i="6" l="1"/>
  <c r="H29" i="6"/>
  <c r="H55" i="6"/>
  <c r="H54" i="6"/>
  <c r="H9" i="6"/>
  <c r="H43" i="6"/>
  <c r="H61" i="6"/>
  <c r="H8" i="6"/>
  <c r="H19" i="6"/>
  <c r="H18" i="6"/>
  <c r="G5" i="3"/>
  <c r="H6" i="6"/>
  <c r="H7" i="6"/>
  <c r="F4" i="3"/>
  <c r="H58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9" i="6"/>
  <c r="H17" i="6"/>
  <c r="H5" i="6"/>
  <c r="O11" i="6" s="1"/>
  <c r="H57" i="6"/>
  <c r="H60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4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<sst xmlns="http://schemas.openxmlformats.org/spreadsheetml/2006/main" count="2159" uniqueCount="873">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</sst>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1" totalsRowShown="0" dataDxfId="16">
  <autoFilter ref="B3:I61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tabSelected="1" topLeftCell="A24" workbookViewId="0">
      <selection activeCell="D56" sqref="D56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0.24292488569525772</v>
      </c>
      <c r="Q5" s="45">
        <f>P5</f>
        <v>0.24292488569525772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0.19379882094793693</v>
      </c>
      <c r="Q6" s="45">
        <f>P6+Q5</f>
        <v>0.43672370664319465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0.14979226555589042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0.17860108280856254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8.286027985637312E-2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1.6284849317300034E-2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0.1189609996979735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1.6284849317300034E-2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4.9196680340579787E-4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4085641.5231375997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/>
      <c r="C56" s="17"/>
      <c r="D56" s="25" t="s">
        <v>872</v>
      </c>
      <c r="E56" s="24"/>
      <c r="F56" s="24"/>
      <c r="G56" s="53"/>
      <c r="H56" s="53">
        <f>G56*E56</f>
        <v>0</v>
      </c>
      <c r="I56" s="24"/>
    </row>
    <row r="57" spans="2:10" x14ac:dyDescent="0.25">
      <c r="B57" s="22">
        <v>53</v>
      </c>
      <c r="C57" s="17" t="s">
        <v>807</v>
      </c>
      <c r="D57" s="21" t="s">
        <v>791</v>
      </c>
      <c r="E57" s="22"/>
      <c r="F57" s="22"/>
      <c r="G57" s="19"/>
      <c r="H57" s="19">
        <f>G57*E57</f>
        <v>0</v>
      </c>
      <c r="I57" s="22" t="s">
        <v>419</v>
      </c>
    </row>
    <row r="58" spans="2:10" x14ac:dyDescent="0.25">
      <c r="B58" s="22">
        <v>54</v>
      </c>
      <c r="C58" s="17"/>
      <c r="D58" s="21" t="s">
        <v>853</v>
      </c>
      <c r="E58" s="22"/>
      <c r="F58" s="22"/>
      <c r="G58" s="19"/>
      <c r="H58" s="19">
        <f>G58*E58</f>
        <v>0</v>
      </c>
      <c r="I58" s="22" t="s">
        <v>799</v>
      </c>
    </row>
    <row r="59" spans="2:10" x14ac:dyDescent="0.25">
      <c r="B59" s="22">
        <v>55</v>
      </c>
      <c r="C59" s="17" t="s">
        <v>807</v>
      </c>
      <c r="D59" s="21" t="s">
        <v>792</v>
      </c>
      <c r="E59" s="22"/>
      <c r="F59" s="22"/>
      <c r="G59" s="19"/>
      <c r="H59" s="19">
        <f>G59*E59</f>
        <v>0</v>
      </c>
      <c r="I59" s="17" t="s">
        <v>799</v>
      </c>
    </row>
    <row r="60" spans="2:10" x14ac:dyDescent="0.25">
      <c r="B60" s="22">
        <v>56</v>
      </c>
      <c r="C60" s="17" t="s">
        <v>807</v>
      </c>
      <c r="D60" s="21" t="s">
        <v>784</v>
      </c>
      <c r="E60" s="22">
        <v>1</v>
      </c>
      <c r="F60" s="22" t="s">
        <v>760</v>
      </c>
      <c r="G60" s="19">
        <v>791792.51</v>
      </c>
      <c r="H60" s="19">
        <f>G60*E60</f>
        <v>791792.51</v>
      </c>
      <c r="I60" s="22" t="s">
        <v>783</v>
      </c>
      <c r="J60" s="52" t="s">
        <v>865</v>
      </c>
    </row>
    <row r="61" spans="2:10" x14ac:dyDescent="0.25">
      <c r="B61" s="22">
        <v>57</v>
      </c>
      <c r="C61" s="34"/>
      <c r="D61" s="25" t="s">
        <v>862</v>
      </c>
      <c r="E61" s="24"/>
      <c r="F61" s="24"/>
      <c r="G61" s="26"/>
      <c r="H61" s="51">
        <f>G61*E61</f>
        <v>0</v>
      </c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D64" s="38"/>
      <c r="H64" s="16">
        <f>SUM(Tabela24[Preço Total])</f>
        <v>4050707.0265427995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2026-10-09T17:48:44Z</dcterms:modified>
</cp:coreProperties>
</file>