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X:\Engenharia\000 - Projetos e Acompanhamentos\2026 - Projetos\08 - Ampliações\"/>
    </mc:Choice>
  </mc:AlternateContent>
  <bookViews>
    <workbookView xWindow="0" yWindow="0" windowWidth="28800" windowHeight="12315" activeTab="3"/>
  </bookViews>
  <sheets>
    <sheet name="EAP_Cronograma" sheetId="1" r:id="rId1"/>
    <sheet name="DPA IV" sheetId="6" r:id="rId2"/>
    <sheet name=" ABC DPA IV" sheetId="7" r:id="rId3"/>
    <sheet name="Expansão DMP" sheetId="3" r:id="rId4"/>
    <sheet name="ABC DMP" sheetId="8" r:id="rId5"/>
  </sheets>
  <definedNames>
    <definedName name="_xlnm._FilterDatabase" localSheetId="2" hidden="1">' ABC DPA IV'!$C$4:$G$4</definedName>
    <definedName name="_xlnm._FilterDatabase" localSheetId="4" hidden="1">'ABC DMP'!$C$6:$G$6</definedName>
    <definedName name="_xlnm._FilterDatabase" localSheetId="0" hidden="1">EAP_Cronograma!$A$1:$M$367</definedName>
  </definedNames>
  <calcPr calcId="152511"/>
</workbook>
</file>

<file path=xl/calcChain.xml><?xml version="1.0" encoding="utf-8"?>
<calcChain xmlns="http://schemas.openxmlformats.org/spreadsheetml/2006/main">
  <c r="F33" i="3" l="1"/>
  <c r="G59" i="6"/>
  <c r="G46" i="3" l="1"/>
  <c r="G48" i="3"/>
  <c r="G49" i="3"/>
  <c r="G50" i="3"/>
  <c r="G51" i="3"/>
  <c r="G47" i="3"/>
  <c r="G44" i="3" l="1"/>
  <c r="G45" i="3" l="1"/>
  <c r="H18" i="6"/>
  <c r="H27" i="6"/>
  <c r="H85" i="6"/>
  <c r="H84" i="6"/>
  <c r="H83" i="6"/>
  <c r="D9" i="8" l="1"/>
  <c r="H77" i="6"/>
  <c r="H6" i="6" l="1"/>
  <c r="H86" i="6"/>
  <c r="G15" i="3" l="1"/>
  <c r="H7" i="6" l="1"/>
  <c r="H10" i="6"/>
  <c r="H9" i="6"/>
  <c r="E97" i="6" l="1"/>
  <c r="E20" i="6"/>
  <c r="H37" i="6"/>
  <c r="E36" i="6"/>
  <c r="H21" i="6"/>
  <c r="H19" i="6"/>
  <c r="H20" i="6"/>
  <c r="E26" i="6"/>
  <c r="H25" i="6"/>
  <c r="H82" i="6" l="1"/>
  <c r="H95" i="6"/>
  <c r="H94" i="6"/>
  <c r="H93" i="6"/>
  <c r="H81" i="6" l="1"/>
  <c r="G21" i="3"/>
  <c r="E31" i="6"/>
  <c r="H31" i="6" s="1"/>
  <c r="H35" i="6"/>
  <c r="H36" i="6"/>
  <c r="G10" i="3"/>
  <c r="G7" i="3"/>
  <c r="H29" i="6"/>
  <c r="H30" i="6"/>
  <c r="H32" i="6"/>
  <c r="H33" i="6"/>
  <c r="H34" i="6"/>
  <c r="G13" i="3"/>
  <c r="G12" i="3"/>
  <c r="G11" i="3"/>
  <c r="G9" i="3"/>
  <c r="G8" i="3"/>
  <c r="G6" i="3"/>
  <c r="G31" i="3"/>
  <c r="G32" i="3"/>
  <c r="G33" i="3"/>
  <c r="G14" i="3"/>
  <c r="D7" i="8" s="1"/>
  <c r="G19" i="3"/>
  <c r="H76" i="6"/>
  <c r="D18" i="7" s="1"/>
  <c r="H24" i="6"/>
  <c r="D15" i="8" l="1"/>
  <c r="D17" i="8"/>
  <c r="H26" i="6"/>
  <c r="H23" i="6"/>
  <c r="H22" i="6"/>
  <c r="E38" i="6"/>
  <c r="D16" i="3"/>
  <c r="G16" i="3" s="1"/>
  <c r="G17" i="3"/>
  <c r="D18" i="3"/>
  <c r="G47" i="6"/>
  <c r="F22" i="3"/>
  <c r="D16" i="8" l="1"/>
  <c r="H56" i="6"/>
  <c r="H90" i="6"/>
  <c r="H91" i="6"/>
  <c r="H88" i="6"/>
  <c r="H89" i="6"/>
  <c r="E14" i="6"/>
  <c r="H14" i="6" s="1"/>
  <c r="E13" i="6"/>
  <c r="H13" i="6" s="1"/>
  <c r="E12" i="6"/>
  <c r="E15" i="6" s="1"/>
  <c r="H15" i="6" s="1"/>
  <c r="E72" i="6"/>
  <c r="E71" i="6"/>
  <c r="H53" i="6"/>
  <c r="H98" i="6"/>
  <c r="H97" i="6"/>
  <c r="H11" i="6"/>
  <c r="H70" i="6"/>
  <c r="H17" i="6"/>
  <c r="H8" i="6"/>
  <c r="H44" i="6"/>
  <c r="H43" i="6"/>
  <c r="H4" i="6"/>
  <c r="H5" i="6"/>
  <c r="F5" i="3"/>
  <c r="G5" i="3" s="1"/>
  <c r="D8" i="8" s="1"/>
  <c r="H87" i="6"/>
  <c r="D16" i="7" s="1"/>
  <c r="G52" i="3"/>
  <c r="G54" i="3"/>
  <c r="D19" i="8" s="1"/>
  <c r="G29" i="3"/>
  <c r="G27" i="3"/>
  <c r="H12" i="6" l="1"/>
  <c r="H40" i="6"/>
  <c r="E42" i="6"/>
  <c r="H39" i="6"/>
  <c r="E41" i="6"/>
  <c r="H38" i="6"/>
  <c r="D17" i="7" s="1"/>
  <c r="H51" i="6" l="1"/>
  <c r="H66" i="6" l="1"/>
  <c r="H68" i="6"/>
  <c r="H48" i="6"/>
  <c r="H49" i="6"/>
  <c r="H50" i="6"/>
  <c r="H75" i="6"/>
  <c r="H52" i="6"/>
  <c r="H54" i="6"/>
  <c r="H41" i="6"/>
  <c r="H42" i="6"/>
  <c r="H3" i="6"/>
  <c r="D9" i="7" s="1"/>
  <c r="H92" i="6"/>
  <c r="D6" i="7" s="1"/>
  <c r="H55" i="6"/>
  <c r="H74" i="6"/>
  <c r="D5" i="7" s="1"/>
  <c r="H28" i="6"/>
  <c r="D14" i="7" s="1"/>
  <c r="H45" i="6"/>
  <c r="H46" i="6"/>
  <c r="H16" i="6"/>
  <c r="D7" i="7" s="1"/>
  <c r="H47" i="6"/>
  <c r="H57" i="6"/>
  <c r="H58" i="6"/>
  <c r="H59" i="6"/>
  <c r="H60" i="6"/>
  <c r="H61" i="6"/>
  <c r="H62" i="6"/>
  <c r="H2" i="6"/>
  <c r="D21" i="7" s="1"/>
  <c r="H78" i="6"/>
  <c r="H79" i="6"/>
  <c r="H80" i="6"/>
  <c r="H96" i="6"/>
  <c r="D8" i="7" s="1"/>
  <c r="H69" i="6"/>
  <c r="H73" i="6"/>
  <c r="D15" i="7" l="1"/>
  <c r="D19" i="7"/>
  <c r="D20" i="7"/>
  <c r="D13" i="7"/>
  <c r="D10" i="7"/>
  <c r="E63" i="6"/>
  <c r="H63" i="6" s="1"/>
  <c r="E64" i="6"/>
  <c r="H64" i="6" s="1"/>
  <c r="E65" i="6"/>
  <c r="H65" i="6" s="1"/>
  <c r="H72" i="6"/>
  <c r="H71" i="6"/>
  <c r="D12" i="7" s="1"/>
  <c r="E67" i="6" l="1"/>
  <c r="H67" i="6" s="1"/>
  <c r="D11" i="7" s="1"/>
  <c r="G23" i="3"/>
  <c r="D11" i="8"/>
  <c r="G24" i="3" l="1"/>
  <c r="D38" i="3"/>
  <c r="G4" i="3"/>
  <c r="D20" i="8" s="1"/>
  <c r="H101" i="6" l="1"/>
  <c r="G37" i="3"/>
  <c r="G36" i="3"/>
  <c r="G35" i="3"/>
  <c r="G34" i="3"/>
  <c r="D18" i="8" s="1"/>
  <c r="G22" i="3"/>
  <c r="G20" i="3"/>
  <c r="D39" i="3"/>
  <c r="D2" i="7" l="1"/>
  <c r="E15" i="7" s="1"/>
  <c r="G18" i="3"/>
  <c r="D14" i="8" s="1"/>
  <c r="G53" i="3"/>
  <c r="D12" i="8" s="1"/>
  <c r="G30" i="3"/>
  <c r="G39" i="3"/>
  <c r="G40" i="3"/>
  <c r="G41" i="3"/>
  <c r="G42" i="3"/>
  <c r="G43" i="3"/>
  <c r="G25" i="3"/>
  <c r="D13" i="8" s="1"/>
  <c r="G26" i="3"/>
  <c r="G28" i="3"/>
  <c r="G38" i="3"/>
  <c r="D10" i="8" s="1"/>
  <c r="E12" i="7" l="1"/>
  <c r="E18" i="7"/>
  <c r="E16" i="7"/>
  <c r="E6" i="7"/>
  <c r="E8" i="7"/>
  <c r="E5" i="7"/>
  <c r="E13" i="7"/>
  <c r="E7" i="7"/>
  <c r="E9" i="7"/>
  <c r="E14" i="7"/>
  <c r="E17" i="7"/>
  <c r="E10" i="7"/>
  <c r="E19" i="7"/>
  <c r="E20" i="7"/>
  <c r="E11" i="7"/>
  <c r="E21" i="7"/>
  <c r="G57" i="3"/>
  <c r="H83" i="3" l="1"/>
  <c r="D2" i="8"/>
  <c r="E20" i="8" l="1"/>
  <c r="E16" i="8"/>
  <c r="E10" i="8"/>
  <c r="E19" i="8"/>
  <c r="E14" i="8"/>
  <c r="E18" i="8"/>
  <c r="E8" i="8"/>
  <c r="E15" i="8"/>
  <c r="E7" i="8"/>
  <c r="F7" i="8" s="1"/>
  <c r="E13" i="8"/>
  <c r="E9" i="8"/>
  <c r="E17" i="8"/>
  <c r="E11" i="8"/>
  <c r="E12" i="8"/>
  <c r="F8" i="8"/>
  <c r="F9" i="8" l="1"/>
  <c r="F10" i="8"/>
  <c r="F11" i="8" s="1"/>
  <c r="F12" i="8" s="1"/>
  <c r="F13" i="8" s="1"/>
  <c r="F14" i="8" s="1"/>
  <c r="F15" i="8" s="1"/>
  <c r="F16" i="8" s="1"/>
  <c r="F17" i="8" s="1"/>
  <c r="F18" i="8" s="1"/>
  <c r="F19" i="8" s="1"/>
  <c r="F20" i="8" s="1"/>
</calcChain>
</file>

<file path=xl/sharedStrings.xml><?xml version="1.0" encoding="utf-8"?>
<sst xmlns="http://schemas.openxmlformats.org/spreadsheetml/2006/main" count="2366" uniqueCount="929">
  <si>
    <t>Código EAP</t>
  </si>
  <si>
    <t>Atividade</t>
  </si>
  <si>
    <t>Código Pai</t>
  </si>
  <si>
    <t>Predecessoras</t>
  </si>
  <si>
    <t>Tipo</t>
  </si>
  <si>
    <t>Responsável</t>
  </si>
  <si>
    <t>Duração (dias)</t>
  </si>
  <si>
    <t>Início</t>
  </si>
  <si>
    <t>Término</t>
  </si>
  <si>
    <t>% Concluído</t>
  </si>
  <si>
    <t>Custo Planejado (R$)</t>
  </si>
  <si>
    <t>Custo Real (R$)</t>
  </si>
  <si>
    <t>Observações</t>
  </si>
  <si>
    <t>1.0</t>
  </si>
  <si>
    <t>PROJETO E PLANEJAMENTO</t>
  </si>
  <si>
    <t>Macro</t>
  </si>
  <si>
    <t>1.1</t>
  </si>
  <si>
    <t>Estudos preliminares</t>
  </si>
  <si>
    <t>Subetapa</t>
  </si>
  <si>
    <t>1.1.2</t>
  </si>
  <si>
    <t>1.1.3</t>
  </si>
  <si>
    <t>Definição do sistema drive-in</t>
  </si>
  <si>
    <t>1.1.7</t>
  </si>
  <si>
    <t>1.1.8</t>
  </si>
  <si>
    <t>Investigação geotécnica / sondagem</t>
  </si>
  <si>
    <t>1.1.9</t>
  </si>
  <si>
    <t>1.2</t>
  </si>
  <si>
    <t>Projetos</t>
  </si>
  <si>
    <t>1.2.1</t>
  </si>
  <si>
    <t>Projeto arquitetônico</t>
  </si>
  <si>
    <t>1.2.2</t>
  </si>
  <si>
    <t>1.2.3</t>
  </si>
  <si>
    <t>Projeto estrutural pré-moldado</t>
  </si>
  <si>
    <t>1.2.4</t>
  </si>
  <si>
    <t>Projeto de fundações</t>
  </si>
  <si>
    <t>1.2.5</t>
  </si>
  <si>
    <t>Projeto do piso industrial</t>
  </si>
  <si>
    <t>1.2.6</t>
  </si>
  <si>
    <t>Projeto de cobertura</t>
  </si>
  <si>
    <t>1.2.7</t>
  </si>
  <si>
    <t>Projeto de drenagem pluvial</t>
  </si>
  <si>
    <t>1.2.8</t>
  </si>
  <si>
    <t>Projeto elétrico</t>
  </si>
  <si>
    <t>1.2.9</t>
  </si>
  <si>
    <t>Projeto de iluminação</t>
  </si>
  <si>
    <t>1.2.10</t>
  </si>
  <si>
    <t>Projeto SPDA</t>
  </si>
  <si>
    <t>1.2.11</t>
  </si>
  <si>
    <t>Projeto de prevenção e combate a incêndio</t>
  </si>
  <si>
    <t>1.2.12</t>
  </si>
  <si>
    <t>Projeto de instalações hidráulicas</t>
  </si>
  <si>
    <t>1.2.13</t>
  </si>
  <si>
    <t>Projeto de sistema de armazenagem drive-in</t>
  </si>
  <si>
    <t>1.2.15</t>
  </si>
  <si>
    <t>1.2.16</t>
  </si>
  <si>
    <t>Projetos executivos</t>
  </si>
  <si>
    <t>1.2.17</t>
  </si>
  <si>
    <t>1.3.3</t>
  </si>
  <si>
    <t>1.3.5</t>
  </si>
  <si>
    <t>1.3.6</t>
  </si>
  <si>
    <t>Marco</t>
  </si>
  <si>
    <t>2.0</t>
  </si>
  <si>
    <t>PLANEJAMENTO E MOBILIZAÇÃO</t>
  </si>
  <si>
    <t>2.1</t>
  </si>
  <si>
    <t>Planejamento executivo</t>
  </si>
  <si>
    <t>2.1.1</t>
  </si>
  <si>
    <t>Cronograma físico</t>
  </si>
  <si>
    <t>Sanitários</t>
  </si>
  <si>
    <t>2.2.9</t>
  </si>
  <si>
    <t>3.0</t>
  </si>
  <si>
    <t>SERVIÇOS PRELIMINARES</t>
  </si>
  <si>
    <t>3.1</t>
  </si>
  <si>
    <t>Preparação do terreno</t>
  </si>
  <si>
    <t>3.1.1</t>
  </si>
  <si>
    <t>3.1.4</t>
  </si>
  <si>
    <t>Demolições existentes, se aplicável</t>
  </si>
  <si>
    <t>3.1.5</t>
  </si>
  <si>
    <t>Remoção de interferências</t>
  </si>
  <si>
    <t>3.2</t>
  </si>
  <si>
    <t>Locação</t>
  </si>
  <si>
    <t>3.2.1</t>
  </si>
  <si>
    <t>Locação da obra</t>
  </si>
  <si>
    <t>3.2.2</t>
  </si>
  <si>
    <t>3.2.3</t>
  </si>
  <si>
    <t>Locação das fundações</t>
  </si>
  <si>
    <t>3.2.4</t>
  </si>
  <si>
    <t>Conferência topográfica</t>
  </si>
  <si>
    <t>3.2.5</t>
  </si>
  <si>
    <t>Gabarito</t>
  </si>
  <si>
    <t>4.0</t>
  </si>
  <si>
    <t>TERRAPLENAGEM</t>
  </si>
  <si>
    <t>4.1</t>
  </si>
  <si>
    <t>Preparação do subleito</t>
  </si>
  <si>
    <t>4.1.1</t>
  </si>
  <si>
    <t>Escavação</t>
  </si>
  <si>
    <t>4.1.2</t>
  </si>
  <si>
    <t>Corte</t>
  </si>
  <si>
    <t>4.1.3</t>
  </si>
  <si>
    <t>Aterro</t>
  </si>
  <si>
    <t>4.1.4</t>
  </si>
  <si>
    <t>Transporte de material</t>
  </si>
  <si>
    <t>4.1.1;4.1.3</t>
  </si>
  <si>
    <t>4.1.5</t>
  </si>
  <si>
    <t>Espalhamento</t>
  </si>
  <si>
    <t>Compactação</t>
  </si>
  <si>
    <t>Sub-base</t>
  </si>
  <si>
    <t>Base</t>
  </si>
  <si>
    <t>4.2.5</t>
  </si>
  <si>
    <t>5.0</t>
  </si>
  <si>
    <t>FUNDAÇÕES</t>
  </si>
  <si>
    <t>5.1</t>
  </si>
  <si>
    <t>5.1.1</t>
  </si>
  <si>
    <t>Marcação dos blocos</t>
  </si>
  <si>
    <t>5.1.3</t>
  </si>
  <si>
    <t>5.2</t>
  </si>
  <si>
    <t>Escavações</t>
  </si>
  <si>
    <t>5.2.1</t>
  </si>
  <si>
    <t>Escavação de blocos</t>
  </si>
  <si>
    <t>5.2.4</t>
  </si>
  <si>
    <t>5.3</t>
  </si>
  <si>
    <t>Fundações profundas — se aplicável</t>
  </si>
  <si>
    <t>5.3.1</t>
  </si>
  <si>
    <t>Locação das estacas</t>
  </si>
  <si>
    <t>5.3.2</t>
  </si>
  <si>
    <t>Execução das estacas</t>
  </si>
  <si>
    <t>5.3.5</t>
  </si>
  <si>
    <t>Arrasamento</t>
  </si>
  <si>
    <t>5.3.3;5.3.4</t>
  </si>
  <si>
    <t>5.4</t>
  </si>
  <si>
    <t>Fundações superficiais — se aplicável</t>
  </si>
  <si>
    <t>5.4.1</t>
  </si>
  <si>
    <t>5.4.2</t>
  </si>
  <si>
    <t>Forma</t>
  </si>
  <si>
    <t>5.4.3</t>
  </si>
  <si>
    <t>Armadura</t>
  </si>
  <si>
    <t>5.4.4</t>
  </si>
  <si>
    <t>5.4.5</t>
  </si>
  <si>
    <t>Concretagem</t>
  </si>
  <si>
    <t>Cura</t>
  </si>
  <si>
    <t>5.5</t>
  </si>
  <si>
    <t>Blocos e vigas de fundação</t>
  </si>
  <si>
    <t>5.3.5;5.4.7</t>
  </si>
  <si>
    <t>5.5.1</t>
  </si>
  <si>
    <t>5.5.2</t>
  </si>
  <si>
    <t>5.5.3</t>
  </si>
  <si>
    <t>5.5.4</t>
  </si>
  <si>
    <t>5.6.4</t>
  </si>
  <si>
    <t>6.0</t>
  </si>
  <si>
    <t>ESTRUTURA PRÉ-MOLDADA</t>
  </si>
  <si>
    <t>6.4</t>
  </si>
  <si>
    <t>Montagem dos pilares</t>
  </si>
  <si>
    <t>5.6.4;6.3.5</t>
  </si>
  <si>
    <t>6.4.1</t>
  </si>
  <si>
    <t>Posicionamento do guindaste</t>
  </si>
  <si>
    <t>6.4.2</t>
  </si>
  <si>
    <t>Içamento</t>
  </si>
  <si>
    <t>6.4.3</t>
  </si>
  <si>
    <t>Posicionamento dos pilares</t>
  </si>
  <si>
    <t>6.4.4</t>
  </si>
  <si>
    <t>Prumo</t>
  </si>
  <si>
    <t>6.4.5</t>
  </si>
  <si>
    <t>Fixação</t>
  </si>
  <si>
    <t>6.4.6</t>
  </si>
  <si>
    <t>Grauteamento</t>
  </si>
  <si>
    <t>6.4.7</t>
  </si>
  <si>
    <t>Liberação</t>
  </si>
  <si>
    <t>6.5</t>
  </si>
  <si>
    <t>Montagem das vigas</t>
  </si>
  <si>
    <t>6.5.1</t>
  </si>
  <si>
    <t>6.5.2</t>
  </si>
  <si>
    <t>Posicionamento</t>
  </si>
  <si>
    <t>6.5.3</t>
  </si>
  <si>
    <t>6.5.4</t>
  </si>
  <si>
    <t>Contraventamento</t>
  </si>
  <si>
    <t>6.5.5</t>
  </si>
  <si>
    <t>Conferência</t>
  </si>
  <si>
    <t>6.6</t>
  </si>
  <si>
    <t>Cobertura estrutural</t>
  </si>
  <si>
    <t>6.6.1</t>
  </si>
  <si>
    <t>Montagem das tesouras</t>
  </si>
  <si>
    <t>6.6.2</t>
  </si>
  <si>
    <t>Montagem das terças</t>
  </si>
  <si>
    <t>6.6.3</t>
  </si>
  <si>
    <t>Contraventamentos</t>
  </si>
  <si>
    <t>6.6.4</t>
  </si>
  <si>
    <t>Estruturas secundárias</t>
  </si>
  <si>
    <t>6.6.5</t>
  </si>
  <si>
    <t>Travamentos</t>
  </si>
  <si>
    <t>6.6.3;6.6.4</t>
  </si>
  <si>
    <t>7.0</t>
  </si>
  <si>
    <t>COBERTURA</t>
  </si>
  <si>
    <t>7.1</t>
  </si>
  <si>
    <t>Telhamento</t>
  </si>
  <si>
    <t>7.1.1</t>
  </si>
  <si>
    <t>Telhas metálicas</t>
  </si>
  <si>
    <t>7.1.2</t>
  </si>
  <si>
    <t>Telhas termoacústicas, se aplicável</t>
  </si>
  <si>
    <t>7.1.3</t>
  </si>
  <si>
    <t>Cumeeiras</t>
  </si>
  <si>
    <t>7.1.4</t>
  </si>
  <si>
    <t>Rufos</t>
  </si>
  <si>
    <t>7.1.5</t>
  </si>
  <si>
    <t>Arremates</t>
  </si>
  <si>
    <t>7.1.3;7.1.4</t>
  </si>
  <si>
    <t>7.1.6</t>
  </si>
  <si>
    <t>Fechamentos de vãos</t>
  </si>
  <si>
    <t>7.2</t>
  </si>
  <si>
    <t>Iluminação e ventilação natural</t>
  </si>
  <si>
    <t>7.2.1</t>
  </si>
  <si>
    <t>Lanternins</t>
  </si>
  <si>
    <t>7.2.2</t>
  </si>
  <si>
    <t>Telhas translúcidas</t>
  </si>
  <si>
    <t>7.2.3</t>
  </si>
  <si>
    <t>Venezianas</t>
  </si>
  <si>
    <t>7.2.4</t>
  </si>
  <si>
    <t>Exaustores, se aplicável</t>
  </si>
  <si>
    <t>7.3</t>
  </si>
  <si>
    <t>Drenagem da cobertura</t>
  </si>
  <si>
    <t>7.3.1</t>
  </si>
  <si>
    <t>Calhas</t>
  </si>
  <si>
    <t>7.3.2</t>
  </si>
  <si>
    <t>Condutores verticais</t>
  </si>
  <si>
    <t>7.3.3</t>
  </si>
  <si>
    <t>Tubulações</t>
  </si>
  <si>
    <t>7.3.4</t>
  </si>
  <si>
    <t>Caixas de inspeção</t>
  </si>
  <si>
    <t>7.3.5</t>
  </si>
  <si>
    <t>Ligação à drenagem externa</t>
  </si>
  <si>
    <t>8.0</t>
  </si>
  <si>
    <t>FECHAMENTOS</t>
  </si>
  <si>
    <t>8.1</t>
  </si>
  <si>
    <t>Fechamento lateral</t>
  </si>
  <si>
    <t>8.1.1</t>
  </si>
  <si>
    <t>Painéis pré-moldados</t>
  </si>
  <si>
    <t>8.1.2</t>
  </si>
  <si>
    <t>8.1.3</t>
  </si>
  <si>
    <t>Estrutura secundária</t>
  </si>
  <si>
    <t>8.1.4</t>
  </si>
  <si>
    <t>Fixações</t>
  </si>
  <si>
    <t>8.1.1;8.1.2;8.1.3</t>
  </si>
  <si>
    <t>8.1.5</t>
  </si>
  <si>
    <t>8.2</t>
  </si>
  <si>
    <t>Fachadas</t>
  </si>
  <si>
    <t>8.2.1</t>
  </si>
  <si>
    <t>Fechamento frontal</t>
  </si>
  <si>
    <t>8.2.2</t>
  </si>
  <si>
    <t>Fechamento posterior</t>
  </si>
  <si>
    <t>8.2.3</t>
  </si>
  <si>
    <t>Portões</t>
  </si>
  <si>
    <t>8.2.1;8.2.2</t>
  </si>
  <si>
    <t>8.2.4</t>
  </si>
  <si>
    <t>Portas</t>
  </si>
  <si>
    <t>8.2.5</t>
  </si>
  <si>
    <t>Docas</t>
  </si>
  <si>
    <t>8.3</t>
  </si>
  <si>
    <t>Acessos</t>
  </si>
  <si>
    <t>8.2.3;8.2.4</t>
  </si>
  <si>
    <t>8.3.1</t>
  </si>
  <si>
    <t>Portas de emergência</t>
  </si>
  <si>
    <t>8.3.2</t>
  </si>
  <si>
    <t>Portas de acesso de pessoas</t>
  </si>
  <si>
    <t>8.3.3</t>
  </si>
  <si>
    <t>Portões para empilhadeiras</t>
  </si>
  <si>
    <t>8.3.4</t>
  </si>
  <si>
    <t>Portas rápidas, se aplicável</t>
  </si>
  <si>
    <t>9.0</t>
  </si>
  <si>
    <t>PISO INDUSTRIAL</t>
  </si>
  <si>
    <t>9.1</t>
  </si>
  <si>
    <t>Preparação</t>
  </si>
  <si>
    <t>9.1.1</t>
  </si>
  <si>
    <t>Regularização do subleito</t>
  </si>
  <si>
    <t>9.1.2</t>
  </si>
  <si>
    <t>9.1.3</t>
  </si>
  <si>
    <t>Execução da sub-base</t>
  </si>
  <si>
    <t>9.1.4</t>
  </si>
  <si>
    <t>Execução da base</t>
  </si>
  <si>
    <t>9.1.5</t>
  </si>
  <si>
    <t>Controle tecnológico</t>
  </si>
  <si>
    <t>9.2</t>
  </si>
  <si>
    <t>Preparação do piso</t>
  </si>
  <si>
    <t>9.2.1</t>
  </si>
  <si>
    <t>Nivelamento</t>
  </si>
  <si>
    <t>9.2.2</t>
  </si>
  <si>
    <t>Barreira de vapor, se especificada</t>
  </si>
  <si>
    <t>9.2.3</t>
  </si>
  <si>
    <t>Juntas</t>
  </si>
  <si>
    <t>9.2.4</t>
  </si>
  <si>
    <t>Armaduras/fibras</t>
  </si>
  <si>
    <t>9.2.5</t>
  </si>
  <si>
    <t>Espaçadores</t>
  </si>
  <si>
    <t>9.2.6</t>
  </si>
  <si>
    <t>Formas</t>
  </si>
  <si>
    <t>9.2.3;9.2.5</t>
  </si>
  <si>
    <t>9.3</t>
  </si>
  <si>
    <t>9.3.1</t>
  </si>
  <si>
    <t>Lançamento do concreto</t>
  </si>
  <si>
    <t>9.3.2</t>
  </si>
  <si>
    <t>9.3.3</t>
  </si>
  <si>
    <t>Adensamento</t>
  </si>
  <si>
    <t>9.3.4</t>
  </si>
  <si>
    <t>9.3.5</t>
  </si>
  <si>
    <t>Acabamento mecânico</t>
  </si>
  <si>
    <t>9.3.6</t>
  </si>
  <si>
    <t>Tratamento superficial</t>
  </si>
  <si>
    <t>9.3.7</t>
  </si>
  <si>
    <t>9.4</t>
  </si>
  <si>
    <t>9.4.1</t>
  </si>
  <si>
    <t>Corte das juntas</t>
  </si>
  <si>
    <t>9.4.2</t>
  </si>
  <si>
    <t>Selagem</t>
  </si>
  <si>
    <t>9.4.3</t>
  </si>
  <si>
    <t>Tratamento das juntas de construção</t>
  </si>
  <si>
    <t>9.4.4</t>
  </si>
  <si>
    <t>Juntas serradas</t>
  </si>
  <si>
    <t>9.4.5</t>
  </si>
  <si>
    <t>Conferência de planicidade</t>
  </si>
  <si>
    <t>9.4.2;9.4.4</t>
  </si>
  <si>
    <t>9.5</t>
  </si>
  <si>
    <t>9.5.1</t>
  </si>
  <si>
    <t>Slump</t>
  </si>
  <si>
    <t>9.5.2</t>
  </si>
  <si>
    <t>Corpos de prova</t>
  </si>
  <si>
    <t>9.5.3</t>
  </si>
  <si>
    <t>Resistência à compressão</t>
  </si>
  <si>
    <t>9.5.4</t>
  </si>
  <si>
    <t>Controle de espessura</t>
  </si>
  <si>
    <t>9.5.5</t>
  </si>
  <si>
    <t>Controle de nivelamento</t>
  </si>
  <si>
    <t>9.5.6</t>
  </si>
  <si>
    <t>Controle de planicidade</t>
  </si>
  <si>
    <t>9.5.7</t>
  </si>
  <si>
    <t>Inspeção final</t>
  </si>
  <si>
    <t>9.5.3;9.5.4;9.5.5;9.5.6</t>
  </si>
  <si>
    <t>10.0</t>
  </si>
  <si>
    <t>SISTEMA DE ARMAZENAGEM DRIVE-IN</t>
  </si>
  <si>
    <t>10.1</t>
  </si>
  <si>
    <t>Projeto e fabricação</t>
  </si>
  <si>
    <t>10.1.1</t>
  </si>
  <si>
    <t>Dimensionamento do sistema</t>
  </si>
  <si>
    <t>10.1.2</t>
  </si>
  <si>
    <t>Definição dos corredores</t>
  </si>
  <si>
    <t>10.1.3</t>
  </si>
  <si>
    <t>Definição das posições</t>
  </si>
  <si>
    <t>10.1.4</t>
  </si>
  <si>
    <t>Definição da altura</t>
  </si>
  <si>
    <t>10.1.5</t>
  </si>
  <si>
    <t>Fabricação dos racks</t>
  </si>
  <si>
    <t>10.1.2;10.1.3;10.1.4</t>
  </si>
  <si>
    <t>10.2</t>
  </si>
  <si>
    <t>Instalação</t>
  </si>
  <si>
    <t>9.5.7;8.3.3;7.3.5</t>
  </si>
  <si>
    <t>10.2.1</t>
  </si>
  <si>
    <t>Marcação dos eixos</t>
  </si>
  <si>
    <t>10.2.2</t>
  </si>
  <si>
    <t>Furação do piso</t>
  </si>
  <si>
    <t>10.2.3</t>
  </si>
  <si>
    <t>Instalação das colunas</t>
  </si>
  <si>
    <t>10.2.2;10.1.5</t>
  </si>
  <si>
    <t>10.2.4</t>
  </si>
  <si>
    <t>Fixação das estruturas</t>
  </si>
  <si>
    <t>10.2.5</t>
  </si>
  <si>
    <t>Instalação dos trilhos</t>
  </si>
  <si>
    <t>10.2.6</t>
  </si>
  <si>
    <t>Instalação dos braços</t>
  </si>
  <si>
    <t>10.2.7</t>
  </si>
  <si>
    <t>Proteções contra impacto</t>
  </si>
  <si>
    <t>10.2.8</t>
  </si>
  <si>
    <t>Sinalização de capacidade</t>
  </si>
  <si>
    <t>10.3</t>
  </si>
  <si>
    <t>Inspeção</t>
  </si>
  <si>
    <t>10.3.1</t>
  </si>
  <si>
    <t>Conferência de prumo</t>
  </si>
  <si>
    <t>10.3.2</t>
  </si>
  <si>
    <t>Conferência de alinhamento</t>
  </si>
  <si>
    <t>10.3.3</t>
  </si>
  <si>
    <t>Conferência das fixações</t>
  </si>
  <si>
    <t>10.3.4</t>
  </si>
  <si>
    <t>Conferência das capacidades</t>
  </si>
  <si>
    <t>10.3.5</t>
  </si>
  <si>
    <t>Liberação para operação</t>
  </si>
  <si>
    <t>10.3.3;10.3.4</t>
  </si>
  <si>
    <t>11.0</t>
  </si>
  <si>
    <t>INSTALAÇÕES ELÉTRICAS</t>
  </si>
  <si>
    <t>11.1</t>
  </si>
  <si>
    <t>Entrada de energia</t>
  </si>
  <si>
    <t>11.1.1</t>
  </si>
  <si>
    <t>Alimentação</t>
  </si>
  <si>
    <t>11.1.2</t>
  </si>
  <si>
    <t>Medição</t>
  </si>
  <si>
    <t>11.1.3</t>
  </si>
  <si>
    <t>Quadro geral</t>
  </si>
  <si>
    <t>11.1.4</t>
  </si>
  <si>
    <t>Distribuição</t>
  </si>
  <si>
    <t>11.2</t>
  </si>
  <si>
    <t>Iluminação</t>
  </si>
  <si>
    <t>7.1.6;8.1.5</t>
  </si>
  <si>
    <t>11.2.1</t>
  </si>
  <si>
    <t>Infraestrutura</t>
  </si>
  <si>
    <t>11.2.2</t>
  </si>
  <si>
    <t>Eletrodutos</t>
  </si>
  <si>
    <t>11.2.3</t>
  </si>
  <si>
    <t>Cabos</t>
  </si>
  <si>
    <t>11.2.4</t>
  </si>
  <si>
    <t>Luminárias industriais LED</t>
  </si>
  <si>
    <t>11.2.5</t>
  </si>
  <si>
    <t>Iluminação de emergência</t>
  </si>
  <si>
    <t>11.2.6</t>
  </si>
  <si>
    <t>Comandos</t>
  </si>
  <si>
    <t>11.3</t>
  </si>
  <si>
    <t>Tomadas e equipamentos</t>
  </si>
  <si>
    <t>11.3.1</t>
  </si>
  <si>
    <t>Tomadas</t>
  </si>
  <si>
    <t>11.3.2</t>
  </si>
  <si>
    <t>Pontos de equipamentos</t>
  </si>
  <si>
    <t>11.3.3</t>
  </si>
  <si>
    <t>Quadros elétricos</t>
  </si>
  <si>
    <t>11.3.4</t>
  </si>
  <si>
    <t>Proteções</t>
  </si>
  <si>
    <t>11.4</t>
  </si>
  <si>
    <t>SPDA</t>
  </si>
  <si>
    <t>11.4.1</t>
  </si>
  <si>
    <t>Captação</t>
  </si>
  <si>
    <t>11.4.2</t>
  </si>
  <si>
    <t>Descidas</t>
  </si>
  <si>
    <t>11.4.3</t>
  </si>
  <si>
    <t>Aterramento</t>
  </si>
  <si>
    <t>11.4.4</t>
  </si>
  <si>
    <t>Equipotencialização</t>
  </si>
  <si>
    <t>11.4.5</t>
  </si>
  <si>
    <t>Medições</t>
  </si>
  <si>
    <t>12.0</t>
  </si>
  <si>
    <t>INSTALAÇÕES HIDROSSANITÁRIAS</t>
  </si>
  <si>
    <t>12.1</t>
  </si>
  <si>
    <t>Água</t>
  </si>
  <si>
    <t>12.1.1</t>
  </si>
  <si>
    <t>12.1.2</t>
  </si>
  <si>
    <t>Reservatório</t>
  </si>
  <si>
    <t>12.1.3</t>
  </si>
  <si>
    <t>12.1.4</t>
  </si>
  <si>
    <t>Pontos de consumo</t>
  </si>
  <si>
    <t>12.2</t>
  </si>
  <si>
    <t>Esgoto</t>
  </si>
  <si>
    <t>12.2.1</t>
  </si>
  <si>
    <t>12.2.2</t>
  </si>
  <si>
    <t>12.2.3</t>
  </si>
  <si>
    <t>Ligação à rede existente</t>
  </si>
  <si>
    <t>12.2.4</t>
  </si>
  <si>
    <t>Testes</t>
  </si>
  <si>
    <t>12.3</t>
  </si>
  <si>
    <t>Drenagem</t>
  </si>
  <si>
    <t>12.3.1</t>
  </si>
  <si>
    <t>Canaletas</t>
  </si>
  <si>
    <t>12.3.2</t>
  </si>
  <si>
    <t>Grelhas</t>
  </si>
  <si>
    <t>12.3.3</t>
  </si>
  <si>
    <t>Caixas</t>
  </si>
  <si>
    <t>12.3.4</t>
  </si>
  <si>
    <t>12.3.5</t>
  </si>
  <si>
    <t>Dissipadores</t>
  </si>
  <si>
    <t>13.0</t>
  </si>
  <si>
    <t>PREVENÇÃO E COMBATE A INCÊNDIO</t>
  </si>
  <si>
    <t>13.1</t>
  </si>
  <si>
    <t>Sistema preventivo</t>
  </si>
  <si>
    <t>13.1.1</t>
  </si>
  <si>
    <t>Extintores</t>
  </si>
  <si>
    <t>13.1.2</t>
  </si>
  <si>
    <t>Hidrantes</t>
  </si>
  <si>
    <t>13.1.3</t>
  </si>
  <si>
    <t>Mangueiras</t>
  </si>
  <si>
    <t>13.1.4</t>
  </si>
  <si>
    <t>Abrigos</t>
  </si>
  <si>
    <t>13.1.5</t>
  </si>
  <si>
    <t>Sinalização</t>
  </si>
  <si>
    <t>13.1.1;13.1.4</t>
  </si>
  <si>
    <t>13.2</t>
  </si>
  <si>
    <t>Detecção e alarme</t>
  </si>
  <si>
    <t>13.2.1</t>
  </si>
  <si>
    <t>Central</t>
  </si>
  <si>
    <t>13.2.2</t>
  </si>
  <si>
    <t>Detectores</t>
  </si>
  <si>
    <t>13.2.3</t>
  </si>
  <si>
    <t>Acionadores</t>
  </si>
  <si>
    <t>13.2.4</t>
  </si>
  <si>
    <t>Sirenes</t>
  </si>
  <si>
    <t>13.3</t>
  </si>
  <si>
    <t>Rotas de fuga</t>
  </si>
  <si>
    <t>13.3.1</t>
  </si>
  <si>
    <t>13.3.2</t>
  </si>
  <si>
    <t>13.3.3</t>
  </si>
  <si>
    <t>13.3.4</t>
  </si>
  <si>
    <t>Demarcação das rotas</t>
  </si>
  <si>
    <t>13.4</t>
  </si>
  <si>
    <t>Aprovação</t>
  </si>
  <si>
    <t>13.1.5;13.2.4;13.3.4</t>
  </si>
  <si>
    <t>13.4.1</t>
  </si>
  <si>
    <t>13.4.2</t>
  </si>
  <si>
    <t>Vistoria</t>
  </si>
  <si>
    <t>13.4.3</t>
  </si>
  <si>
    <t>Adequações</t>
  </si>
  <si>
    <t>13.4.4</t>
  </si>
  <si>
    <t>AVCB/regularização</t>
  </si>
  <si>
    <t>14.0</t>
  </si>
  <si>
    <t>ÁREA EXTERNA E PÁTIO</t>
  </si>
  <si>
    <t>14.1</t>
  </si>
  <si>
    <t>Pavimentação</t>
  </si>
  <si>
    <t>14.1.1</t>
  </si>
  <si>
    <t>Terraplenagem</t>
  </si>
  <si>
    <t>14.1.2</t>
  </si>
  <si>
    <t>14.1.3</t>
  </si>
  <si>
    <t>14.1.4</t>
  </si>
  <si>
    <t>14.1.5</t>
  </si>
  <si>
    <t>Meio-fio</t>
  </si>
  <si>
    <t>14.1.6</t>
  </si>
  <si>
    <t>Calçadas</t>
  </si>
  <si>
    <t>14.2</t>
  </si>
  <si>
    <t>Circulação</t>
  </si>
  <si>
    <t>14.2.1</t>
  </si>
  <si>
    <t>Acesso de caminhões</t>
  </si>
  <si>
    <t>14.2.2</t>
  </si>
  <si>
    <t>Acesso de empilhadeiras</t>
  </si>
  <si>
    <t>14.2.3</t>
  </si>
  <si>
    <t>Área de manobra</t>
  </si>
  <si>
    <t>14.2.4</t>
  </si>
  <si>
    <t>Área de carga e descarga</t>
  </si>
  <si>
    <t>14.2.5</t>
  </si>
  <si>
    <t>14.3</t>
  </si>
  <si>
    <t>Drenagem externa</t>
  </si>
  <si>
    <t>14.3.1</t>
  </si>
  <si>
    <t>14.3.2</t>
  </si>
  <si>
    <t>Sarjetas</t>
  </si>
  <si>
    <t>14.3.3</t>
  </si>
  <si>
    <t>14.3.4</t>
  </si>
  <si>
    <t>14.3.5</t>
  </si>
  <si>
    <t>15.0</t>
  </si>
  <si>
    <t>SEGURANÇA E SINALIZAÇÃO OPERACIONAL</t>
  </si>
  <si>
    <t>15.1</t>
  </si>
  <si>
    <t>Segurança de circulação</t>
  </si>
  <si>
    <t>14.2.5;10.3.5</t>
  </si>
  <si>
    <t>15.1.1</t>
  </si>
  <si>
    <t>Faixas de circulação</t>
  </si>
  <si>
    <t>15.1.2</t>
  </si>
  <si>
    <t>Faixas de pedestres</t>
  </si>
  <si>
    <t>15.1.3</t>
  </si>
  <si>
    <t>Separação pedestre × empilhadeira</t>
  </si>
  <si>
    <t>15.1.4</t>
  </si>
  <si>
    <t>Barreiras físicas</t>
  </si>
  <si>
    <t>15.1.5</t>
  </si>
  <si>
    <t>Guarda-corpos</t>
  </si>
  <si>
    <t>15.1.6</t>
  </si>
  <si>
    <t>Defensas dos pilares</t>
  </si>
  <si>
    <t>15.2</t>
  </si>
  <si>
    <t>15.2.1</t>
  </si>
  <si>
    <t>Sinalização horizontal</t>
  </si>
  <si>
    <t>15.2.2</t>
  </si>
  <si>
    <t>Sinalização vertical</t>
  </si>
  <si>
    <t>15.2.3</t>
  </si>
  <si>
    <t>Limite de velocidade</t>
  </si>
  <si>
    <t>15.2.4</t>
  </si>
  <si>
    <t>Sentido de circulação</t>
  </si>
  <si>
    <t>15.2.5</t>
  </si>
  <si>
    <t>Identificação dos corredores</t>
  </si>
  <si>
    <t>15.2.6</t>
  </si>
  <si>
    <t>Identificação das posições de estoque</t>
  </si>
  <si>
    <t>15.3</t>
  </si>
  <si>
    <t>15.3.1</t>
  </si>
  <si>
    <t>Protetores de pilares</t>
  </si>
  <si>
    <t>15.3.2</t>
  </si>
  <si>
    <t>Protetores de racks</t>
  </si>
  <si>
    <t>15.3.3</t>
  </si>
  <si>
    <t>Barreiras de impacto</t>
  </si>
  <si>
    <t>15.3.4</t>
  </si>
  <si>
    <t>Balizadores</t>
  </si>
  <si>
    <t>15.3.5</t>
  </si>
  <si>
    <t>16.0</t>
  </si>
  <si>
    <t>ACABAMENTOS</t>
  </si>
  <si>
    <t>16.1</t>
  </si>
  <si>
    <t>Pintura</t>
  </si>
  <si>
    <t>8.1.5;8.2.5</t>
  </si>
  <si>
    <t>16.1.1</t>
  </si>
  <si>
    <t>Pintura interna</t>
  </si>
  <si>
    <t>16.1.2</t>
  </si>
  <si>
    <t>Pintura externa</t>
  </si>
  <si>
    <t>16.1.3</t>
  </si>
  <si>
    <t>Pintura de estruturas</t>
  </si>
  <si>
    <t>16.1.4</t>
  </si>
  <si>
    <t>Pintura de áreas técnicas</t>
  </si>
  <si>
    <t>16.2</t>
  </si>
  <si>
    <t>Esquadrias</t>
  </si>
  <si>
    <t>16.2.1</t>
  </si>
  <si>
    <t>16.2.2</t>
  </si>
  <si>
    <t>Janelas</t>
  </si>
  <si>
    <t>16.2.3</t>
  </si>
  <si>
    <t>16.2.4</t>
  </si>
  <si>
    <t>16.3</t>
  </si>
  <si>
    <t>Áreas de apoio</t>
  </si>
  <si>
    <t>16.3.1</t>
  </si>
  <si>
    <t>Escritório</t>
  </si>
  <si>
    <t>16.3.2</t>
  </si>
  <si>
    <t>Vestiários</t>
  </si>
  <si>
    <t>16.3.3</t>
  </si>
  <si>
    <t>16.3.4</t>
  </si>
  <si>
    <t>Copa</t>
  </si>
  <si>
    <t>16.3.5</t>
  </si>
  <si>
    <t>Sala técnica</t>
  </si>
  <si>
    <t>17.0</t>
  </si>
  <si>
    <t>SISTEMAS COMPLEMENTARES</t>
  </si>
  <si>
    <t>17.1</t>
  </si>
  <si>
    <t>CFTV</t>
  </si>
  <si>
    <t>17.2</t>
  </si>
  <si>
    <t>Controle de acesso</t>
  </si>
  <si>
    <t>17.3</t>
  </si>
  <si>
    <t>Alarme</t>
  </si>
  <si>
    <t>17.4</t>
  </si>
  <si>
    <t>Rede lógica</t>
  </si>
  <si>
    <t>17.5</t>
  </si>
  <si>
    <t>Wi-Fi industrial</t>
  </si>
  <si>
    <t>17.6</t>
  </si>
  <si>
    <t>Automação</t>
  </si>
  <si>
    <t>17.7</t>
  </si>
  <si>
    <t>Sistema de monitoramento de temperatura</t>
  </si>
  <si>
    <t>17.8</t>
  </si>
  <si>
    <t>Sistema de controle de estoque</t>
  </si>
  <si>
    <t>17.9</t>
  </si>
  <si>
    <t>Balanças</t>
  </si>
  <si>
    <t>17.10</t>
  </si>
  <si>
    <t>Comunicação interna</t>
  </si>
  <si>
    <t>18.0</t>
  </si>
  <si>
    <t>COMISSIONAMENTO E TESTES</t>
  </si>
  <si>
    <t>18.1</t>
  </si>
  <si>
    <t>Estrutura</t>
  </si>
  <si>
    <t>18.1.1</t>
  </si>
  <si>
    <t>18.1.2</t>
  </si>
  <si>
    <t>18.1.3</t>
  </si>
  <si>
    <t>Conferência de fixações</t>
  </si>
  <si>
    <t>18.2</t>
  </si>
  <si>
    <t>Piso</t>
  </si>
  <si>
    <t>18.2.1</t>
  </si>
  <si>
    <t>Inspeção visual</t>
  </si>
  <si>
    <t>18.2.2</t>
  </si>
  <si>
    <t>Planicidade</t>
  </si>
  <si>
    <t>18.2.3</t>
  </si>
  <si>
    <t>18.2.4</t>
  </si>
  <si>
    <t>18.3</t>
  </si>
  <si>
    <t>Elétrica</t>
  </si>
  <si>
    <t>11.4.5;13.4.4</t>
  </si>
  <si>
    <t>18.3.1</t>
  </si>
  <si>
    <t>Testes de continuidade</t>
  </si>
  <si>
    <t>18.3.2</t>
  </si>
  <si>
    <t>Testes de isolamento</t>
  </si>
  <si>
    <t>18.3.3</t>
  </si>
  <si>
    <t>Teste de iluminação</t>
  </si>
  <si>
    <t>18.3.4</t>
  </si>
  <si>
    <t>Teste de emergência</t>
  </si>
  <si>
    <t>18.3.5</t>
  </si>
  <si>
    <t>Teste de SPDA/aterramento</t>
  </si>
  <si>
    <t>18.4</t>
  </si>
  <si>
    <t>Hidráulica</t>
  </si>
  <si>
    <t>12.2.4;12.3.5</t>
  </si>
  <si>
    <t>18.4.1</t>
  </si>
  <si>
    <t>Teste de estanqueidade</t>
  </si>
  <si>
    <t>18.4.2</t>
  </si>
  <si>
    <t>Teste de funcionamento</t>
  </si>
  <si>
    <t>18.4.3</t>
  </si>
  <si>
    <t>Teste de drenagem</t>
  </si>
  <si>
    <t>18.5</t>
  </si>
  <si>
    <t>Incêndio</t>
  </si>
  <si>
    <t>18.5.1</t>
  </si>
  <si>
    <t>Teste de hidrantes</t>
  </si>
  <si>
    <t>18.5.2</t>
  </si>
  <si>
    <t>Teste de alarme</t>
  </si>
  <si>
    <t>18.5.3</t>
  </si>
  <si>
    <t>Teste de iluminação de emergência</t>
  </si>
  <si>
    <t>18.5.4</t>
  </si>
  <si>
    <t>Teste de sinalização</t>
  </si>
  <si>
    <t>18.6</t>
  </si>
  <si>
    <t>Drive-in</t>
  </si>
  <si>
    <t>18.6.1</t>
  </si>
  <si>
    <t>Teste de carregamento</t>
  </si>
  <si>
    <t>18.6.2</t>
  </si>
  <si>
    <t>Teste de retirada</t>
  </si>
  <si>
    <t>18.6.3</t>
  </si>
  <si>
    <t>Teste de circulação da empilhadeira</t>
  </si>
  <si>
    <t>18.6.4</t>
  </si>
  <si>
    <t>Conferência dos corredores</t>
  </si>
  <si>
    <t>18.6.5</t>
  </si>
  <si>
    <t>Conferência das proteções</t>
  </si>
  <si>
    <t>19.0</t>
  </si>
  <si>
    <t>LIMPEZA E DESMOBILIZAÇÃO</t>
  </si>
  <si>
    <t>19.1</t>
  </si>
  <si>
    <t>Limpeza geral</t>
  </si>
  <si>
    <t>19.2</t>
  </si>
  <si>
    <t>Retirada de resíduos</t>
  </si>
  <si>
    <t>19.3</t>
  </si>
  <si>
    <t>Destinação dos resíduos</t>
  </si>
  <si>
    <t>19.4</t>
  </si>
  <si>
    <t>Retirada do canteiro</t>
  </si>
  <si>
    <t>19.5</t>
  </si>
  <si>
    <t>Desmobilização de equipamentos</t>
  </si>
  <si>
    <t>19.6</t>
  </si>
  <si>
    <t>Retirada de instalações provisórias</t>
  </si>
  <si>
    <t>19.7</t>
  </si>
  <si>
    <t>Limpeza do galpão</t>
  </si>
  <si>
    <t>19.8</t>
  </si>
  <si>
    <t>Limpeza do pátio</t>
  </si>
  <si>
    <t>20.0</t>
  </si>
  <si>
    <t>ENTREGA E ENCERRAMENTO</t>
  </si>
  <si>
    <t>20.1</t>
  </si>
  <si>
    <t>Documentação</t>
  </si>
  <si>
    <t>20.1.1</t>
  </si>
  <si>
    <t>As built arquitetônico</t>
  </si>
  <si>
    <t>20.1.2</t>
  </si>
  <si>
    <t>As built estrutural</t>
  </si>
  <si>
    <t>20.1.3</t>
  </si>
  <si>
    <t>As built elétrico</t>
  </si>
  <si>
    <t>20.1.4</t>
  </si>
  <si>
    <t>As built hidráulico</t>
  </si>
  <si>
    <t>20.1.5</t>
  </si>
  <si>
    <t>As built incêndio</t>
  </si>
  <si>
    <t>20.1.6</t>
  </si>
  <si>
    <t>Manuais dos equipamentos</t>
  </si>
  <si>
    <t>20.1.7</t>
  </si>
  <si>
    <t>Certificados</t>
  </si>
  <si>
    <t>20.1.8</t>
  </si>
  <si>
    <t>Laudos</t>
  </si>
  <si>
    <t>20.1.9</t>
  </si>
  <si>
    <t>ARTs</t>
  </si>
  <si>
    <t>20.1.10</t>
  </si>
  <si>
    <t>Relatórios de ensaio</t>
  </si>
  <si>
    <t>20.2</t>
  </si>
  <si>
    <t>19.8;20.1.10</t>
  </si>
  <si>
    <t>20.2.1</t>
  </si>
  <si>
    <t>Punch list</t>
  </si>
  <si>
    <t>20.2.2</t>
  </si>
  <si>
    <t>Correção das pendências</t>
  </si>
  <si>
    <t>20.2.3</t>
  </si>
  <si>
    <t>Reinspeção</t>
  </si>
  <si>
    <t>20.2.4</t>
  </si>
  <si>
    <t>Aceite da obra</t>
  </si>
  <si>
    <t>20.3</t>
  </si>
  <si>
    <t>Entrega</t>
  </si>
  <si>
    <t>20.3.1</t>
  </si>
  <si>
    <t>Entrega física</t>
  </si>
  <si>
    <t>20.3.2</t>
  </si>
  <si>
    <t>Entrega documental</t>
  </si>
  <si>
    <t>20.1.10;20.2.4</t>
  </si>
  <si>
    <t>20.3.3</t>
  </si>
  <si>
    <t>Treinamento operacional</t>
  </si>
  <si>
    <t>20.3.4</t>
  </si>
  <si>
    <t>Treinamento de segurança</t>
  </si>
  <si>
    <t>20.3.5</t>
  </si>
  <si>
    <t>Entrega do sistema drive-in</t>
  </si>
  <si>
    <t>20.3.6</t>
  </si>
  <si>
    <t>20.3.2;20.3.3;20.3.4;20.3.5</t>
  </si>
  <si>
    <t>Item</t>
  </si>
  <si>
    <t>Descrição</t>
  </si>
  <si>
    <t>Quantidade</t>
  </si>
  <si>
    <t>Unidade</t>
  </si>
  <si>
    <t>Concreto FCK 30 Brita 0 Slump 10±2</t>
  </si>
  <si>
    <t>Treliça TR8 CA-60 12m</t>
  </si>
  <si>
    <t>m³</t>
  </si>
  <si>
    <t>un</t>
  </si>
  <si>
    <t>m</t>
  </si>
  <si>
    <t>Manta geotextil bidim</t>
  </si>
  <si>
    <t>m²</t>
  </si>
  <si>
    <t>Preço Unitário</t>
  </si>
  <si>
    <t>Preço Total</t>
  </si>
  <si>
    <t>dia</t>
  </si>
  <si>
    <t>Aplicação</t>
  </si>
  <si>
    <t>Mão de obra para concretagem do piso</t>
  </si>
  <si>
    <t xml:space="preserve">Ferragem para fundação Profunda </t>
  </si>
  <si>
    <t>Ferragem para fundação rasa</t>
  </si>
  <si>
    <t>Fundação</t>
  </si>
  <si>
    <t>Pré Moldado</t>
  </si>
  <si>
    <t>Estrutura em pré moldado</t>
  </si>
  <si>
    <t>Fechamento Lateral</t>
  </si>
  <si>
    <t>Tela POP 10x10 Fio 4.2mm EQ138 2,45 x 6,00m</t>
  </si>
  <si>
    <t>Projeto de combate ao incêndio - material e execução</t>
  </si>
  <si>
    <t>Madeirite para forma da fundação</t>
  </si>
  <si>
    <t>Rufo de encontro dos galpões</t>
  </si>
  <si>
    <t>AVCB</t>
  </si>
  <si>
    <t>Terraplanagem</t>
  </si>
  <si>
    <t>Serviço de terraplanagem da área</t>
  </si>
  <si>
    <t>Tinta PU Verde Folha</t>
  </si>
  <si>
    <t>Tinta Piso Concreto</t>
  </si>
  <si>
    <t>Tinta epoxi amarela</t>
  </si>
  <si>
    <t>Tinta epoxi preta</t>
  </si>
  <si>
    <t>SPDA do galpão completo</t>
  </si>
  <si>
    <t>Estrutura drive-in</t>
  </si>
  <si>
    <t>Projeto fundação profunda e cálices</t>
  </si>
  <si>
    <t xml:space="preserve">Projeto Fundação profunda e cálices </t>
  </si>
  <si>
    <t>SPT para dimensionamento de fundação</t>
  </si>
  <si>
    <t>Telhado</t>
  </si>
  <si>
    <t>Diária bomba de concreto - valor por metro bombeado</t>
  </si>
  <si>
    <t>Poço Artesiano para alimentação do alojamento</t>
  </si>
  <si>
    <t>Bomba do poço artesiano</t>
  </si>
  <si>
    <t>Local</t>
  </si>
  <si>
    <t>Sistema de tratamento para esgoto do banheiro</t>
  </si>
  <si>
    <t>pç</t>
  </si>
  <si>
    <t>Armazenamento</t>
  </si>
  <si>
    <t>Meio Fio Padrão Novacap 30x15/12</t>
  </si>
  <si>
    <t>Mão de obra para Fechamento em Alvenaria</t>
  </si>
  <si>
    <t>Análise + Sistema de tratamento para consumo final do poço artesiano</t>
  </si>
  <si>
    <t>%</t>
  </si>
  <si>
    <t>Arrasamento das estacas, locação dos blocos e concretagem dos cálices</t>
  </si>
  <si>
    <t>Perfil Enrijecido A/C 150x50x20mm</t>
  </si>
  <si>
    <t>Telha Trapeizodal TP40 6100mm #0,50mm</t>
  </si>
  <si>
    <t>Fechamento Frontal</t>
  </si>
  <si>
    <t>Telha Trapeizodal TP40 3000mm #0,50mm</t>
  </si>
  <si>
    <t>Execução da fundação profunda</t>
  </si>
  <si>
    <t xml:space="preserve">Concreto FCK 30 Brita 0 Slump 20±2 fundação profunda </t>
  </si>
  <si>
    <t>Concreto FCK 30 Brita 0 Slump 10±2 cálices e blocos</t>
  </si>
  <si>
    <t>kg</t>
  </si>
  <si>
    <t>Valor Estimado - Será fechado somente após detalhamento do projeto</t>
  </si>
  <si>
    <t>Fechamento em Alvenaria - Mão de Obra</t>
  </si>
  <si>
    <t>Topografia do local para locação dos pontos de concretagem dos pilares</t>
  </si>
  <si>
    <t>Topografia</t>
  </si>
  <si>
    <t>Galpão em estrutura metálica 50 x 40 x 12m - Fechamentos inclusos M.O</t>
  </si>
  <si>
    <t>Frete do material de telhado</t>
  </si>
  <si>
    <t>cx</t>
  </si>
  <si>
    <t>Projeto de combate ao incêndio - material, execução e aprovação</t>
  </si>
  <si>
    <t>Rampas Niveladoras para a expedição</t>
  </si>
  <si>
    <t>Sistema de alarme de incêndio</t>
  </si>
  <si>
    <t>Sistema de Alarme de incêndio</t>
  </si>
  <si>
    <t>Calha metálica para o pré moldado (de acordo com o projeto)</t>
  </si>
  <si>
    <t xml:space="preserve">Caixa Parafuso autobrocante 12 x 3/4" 100un </t>
  </si>
  <si>
    <t>Frete para telhas</t>
  </si>
  <si>
    <t>Mão de obra para concretagem do piso do galpão 2100m²</t>
  </si>
  <si>
    <t>Concreto para o radier do sistema de tratamento de esgoto do banheiro</t>
  </si>
  <si>
    <t>Ferragem para o Sistema de tratamento de esgoto do banheiro</t>
  </si>
  <si>
    <t>Concreto para fundação rasa</t>
  </si>
  <si>
    <t xml:space="preserve">Concreto FCK 30 Brita 0 Slump 24±2 fundação profunda </t>
  </si>
  <si>
    <t>Piso Pátio de Manobra</t>
  </si>
  <si>
    <t>Frete para entrega do Meio fio</t>
  </si>
  <si>
    <t>Piso Galpão DPA IV</t>
  </si>
  <si>
    <t xml:space="preserve">Mão de obra para concretagem do piso e instalação do meio-fio </t>
  </si>
  <si>
    <t>Docas de Carregamento</t>
  </si>
  <si>
    <t>Tratamento de Esgoto</t>
  </si>
  <si>
    <t>Serviço Preliminar</t>
  </si>
  <si>
    <t>Mão de obra para concretagem do piso das docas de carregamento (1075m²)</t>
  </si>
  <si>
    <t>Mão de obra para montagem e cobertura da frente das docas de carregamento</t>
  </si>
  <si>
    <t>Parafuso de fixação telha/terça</t>
  </si>
  <si>
    <t xml:space="preserve">Parafuso de costura telha/telha </t>
  </si>
  <si>
    <t xml:space="preserve">Sondagem SPT após realização do aterro </t>
  </si>
  <si>
    <t xml:space="preserve">Necessário por desencargo de consciência </t>
  </si>
  <si>
    <t xml:space="preserve">Madeirite 2,20 x 1,10m 14mm plastificado </t>
  </si>
  <si>
    <t>Telha forro metalico natural x branco  0.43 eps 50mm f1 retardante a chamas</t>
  </si>
  <si>
    <t>Telha forro metalico natural x branco 0.43 eps 50mm f1 retardante a chamas</t>
  </si>
  <si>
    <t>Parafuso autobrocante 12 x 5" 100uni.</t>
  </si>
  <si>
    <t>Parafuso autobrocante 12 x 7/8 100uni.</t>
  </si>
  <si>
    <t>Cumeeira natural 30x30</t>
  </si>
  <si>
    <t>Luminária Highbay redonda</t>
  </si>
  <si>
    <t xml:space="preserve">Mão de obra para instalação da iluminação </t>
  </si>
  <si>
    <t>Solicitado orçamento a PGN</t>
  </si>
  <si>
    <t>Cumeeiras tp40 0.50mm largura util 980mm galvalume</t>
  </si>
  <si>
    <t>Telha tp40 0.50mm comp 7300mm largura util 980mm galvalume</t>
  </si>
  <si>
    <t>Telhas tp40 0.50mm comp 5600mm largura util 980mm galvalume</t>
  </si>
  <si>
    <t xml:space="preserve">Perfil Enrijecido A/C 150x50x20mm #2mm - Treliças </t>
  </si>
  <si>
    <t xml:space="preserve">Perfil A/C 127x50 #3mm - Treliças </t>
  </si>
  <si>
    <t>Insumo ou Serviço</t>
  </si>
  <si>
    <t>Sala Coordenação</t>
  </si>
  <si>
    <t>Previsão de orçamento para o dia 20</t>
  </si>
  <si>
    <t>Tubo esgoto PVC branco 150mm</t>
  </si>
  <si>
    <t>Joelho esgoto PVC 150mm</t>
  </si>
  <si>
    <t>Luva PVC esgoto 150mm</t>
  </si>
  <si>
    <t>Tubo esgoto PVC branco 250mm</t>
  </si>
  <si>
    <t>Joelho esgoto PVC 250mm</t>
  </si>
  <si>
    <t>Cap esgoto PVC 250mm</t>
  </si>
  <si>
    <t>Te esgoto PVC 250mm Redução para 150mm</t>
  </si>
  <si>
    <t>Drenagem Pluvial</t>
  </si>
  <si>
    <t>Te esgoto PVC 250mm Redução para 150mm (Meio dos galpões)</t>
  </si>
  <si>
    <t>Tubo esgoto PVC branco 250mm (Meio dos galpões)</t>
  </si>
  <si>
    <t>Manta Asfáltica PP Poliéster Tipo II Classe B 4mm 1x10m Impermanta</t>
  </si>
  <si>
    <t>Mão de obra para desmontagem da cobertura de enlonamento de caminhões e lateral do blocado</t>
  </si>
  <si>
    <t>Rufo de acabamento galvanizado 140 x 140 x 20mm #20</t>
  </si>
  <si>
    <t>Rufo de acabamento 140 x 140 x 20mm #20</t>
  </si>
  <si>
    <t xml:space="preserve">Estrutura Porta Pallet </t>
  </si>
  <si>
    <t>Telha TP40 0.50mm comp 4000mm util 980mm galvalume</t>
  </si>
  <si>
    <t>Cobertura frontal das portas</t>
  </si>
  <si>
    <t>Descida das calhas</t>
  </si>
  <si>
    <t>Tubo de coleta das calhas</t>
  </si>
  <si>
    <t>Perfil Enrijecido A/C 150x50x20mm #2mm</t>
  </si>
  <si>
    <t>br</t>
  </si>
  <si>
    <t>Tubulação já existente</t>
  </si>
  <si>
    <t>Mão de obra para montagem da rede de drenagem pluvial</t>
  </si>
  <si>
    <t>Mão de obra para fechamento em alvenaria na parte interna do galpão blocado 1,20m</t>
  </si>
  <si>
    <t>Telha Trapezoidal TP40 6600mm</t>
  </si>
  <si>
    <t>Serviço de instalação das portas automáticas</t>
  </si>
  <si>
    <t>Cabo para instalação das portas automáticas</t>
  </si>
  <si>
    <t xml:space="preserve">Portas automáticas para as docas - Porta Flex. Fast Roll Dock 2,4m (L) x 3m (A) </t>
  </si>
  <si>
    <t>Cabo para instalação das Niveladoras</t>
  </si>
  <si>
    <t xml:space="preserve"> </t>
  </si>
  <si>
    <t>Estrutura Metálica</t>
  </si>
  <si>
    <t>Fechamento das treliças do galpão em chapa galvanizada</t>
  </si>
  <si>
    <t>Cabo PP 4x10mm² Preto (ligação do poço artesiano)</t>
  </si>
  <si>
    <t>Cabo PP 120mm² Preto</t>
  </si>
  <si>
    <t>Cabo PP 50mm² Preto</t>
  </si>
  <si>
    <t>Eletrocalha 100 x 100mm com virola galvanizada</t>
  </si>
  <si>
    <t>Painel 1000x600x300mm A/C</t>
  </si>
  <si>
    <t>Cabo PP 4 x 2.5mm²</t>
  </si>
  <si>
    <t>Frete das rampas niveladoras</t>
  </si>
  <si>
    <t>Preparação x expedição</t>
  </si>
  <si>
    <t>Iluminação galpão</t>
  </si>
  <si>
    <t>Iluminação Galpão</t>
  </si>
  <si>
    <t>Sala provisória para apontamento e coordenação</t>
  </si>
  <si>
    <t>Sala de coordenação e banheiro de funcionários</t>
  </si>
  <si>
    <t>Preço</t>
  </si>
  <si>
    <t>% soma</t>
  </si>
  <si>
    <t>Status</t>
  </si>
  <si>
    <t>DMP</t>
  </si>
  <si>
    <t>Sala de Coordenação</t>
  </si>
  <si>
    <t>DPA IV</t>
  </si>
  <si>
    <t>Reservatório 5000 litros para o alojamento</t>
  </si>
  <si>
    <t xml:space="preserve">Material para estrutura e ligação do reservatório </t>
  </si>
  <si>
    <t>A</t>
  </si>
  <si>
    <t>B</t>
  </si>
  <si>
    <t>C</t>
  </si>
  <si>
    <t>Locação do munck para desmontagem do galpão</t>
  </si>
  <si>
    <t>Locação de plataforma para montagem das coberturas</t>
  </si>
  <si>
    <t>Mão de obra para fechamento em alvenaria e telhas na fachada do galpão DPA IV</t>
  </si>
  <si>
    <t>Realocação da estação de abastecimento de gás das empilhadeiras</t>
  </si>
  <si>
    <t>Combate ao Incêndio</t>
  </si>
  <si>
    <t>Locação de empilhadeira retrátil</t>
  </si>
  <si>
    <t>Retirada de reservatório de água</t>
  </si>
  <si>
    <t>Desmontagem da cobertura de enlonamento</t>
  </si>
  <si>
    <t xml:space="preserve">Grupo Serviço premilinar </t>
  </si>
  <si>
    <t>Prazo de execução:</t>
  </si>
  <si>
    <t>300 dias</t>
  </si>
  <si>
    <t>Prazo de Execução:</t>
  </si>
  <si>
    <t>180 dias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</si>
</sst>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\R\$\ #,##0.00"/>
  </numFmts>
  <fonts count="7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11"/>
      <color theme="1" tint="0.249977111117893"/>
      <name val="Calibri"/>
      <scheme val="minor"/>
    </font>
    <font>
      <sz val="11"/>
      <color rgb="FF404040"/>
      <name val="Calibri"/>
    </font>
    <font>
      <sz val="11"/>
      <color rgb="FF40404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B4C7E7"/>
      </patternFill>
    </fill>
    <fill>
      <patternFill patternType="solid">
        <fgColor rgb="FFEAF2F8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5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top" wrapText="1"/>
    </xf>
    <xf numFmtId="14" fontId="1" fillId="3" borderId="0" xfId="0" applyNumberFormat="1" applyFont="1" applyFill="1" applyAlignment="1">
      <alignment vertical="top" wrapText="1"/>
    </xf>
    <xf numFmtId="9" fontId="1" fillId="3" borderId="0" xfId="0" applyNumberFormat="1" applyFont="1" applyFill="1" applyAlignment="1">
      <alignment vertical="top" wrapText="1"/>
    </xf>
    <xf numFmtId="164" fontId="1" fillId="3" borderId="0" xfId="0" applyNumberFormat="1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4" fontId="1" fillId="4" borderId="0" xfId="0" applyNumberFormat="1" applyFont="1" applyFill="1" applyAlignment="1">
      <alignment vertical="top" wrapText="1"/>
    </xf>
    <xf numFmtId="9" fontId="1" fillId="4" borderId="0" xfId="0" applyNumberFormat="1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9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0" borderId="0" xfId="0" applyFont="1" applyFill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applyFont="1" applyFill="1"/>
    <xf numFmtId="44" fontId="4" fillId="0" borderId="0" xfId="1" applyFont="1" applyAlignment="1">
      <alignment horizontal="center" vertical="center"/>
    </xf>
    <xf numFmtId="0" fontId="3" fillId="0" borderId="0" xfId="0" applyFont="1" applyBorder="1"/>
    <xf numFmtId="0" fontId="3" fillId="0" borderId="0" xfId="0" applyFont="1" applyBorder="1" applyAlignment="1">
      <alignment horizontal="center"/>
    </xf>
    <xf numFmtId="44" fontId="4" fillId="0" borderId="0" xfId="1" applyNumberFormat="1" applyFont="1" applyAlignment="1">
      <alignment horizontal="center" vertical="center"/>
    </xf>
    <xf numFmtId="0" fontId="0" fillId="0" borderId="0" xfId="0" applyAlignment="1">
      <alignment horizontal="left"/>
    </xf>
    <xf numFmtId="44" fontId="4" fillId="0" borderId="0" xfId="1" applyFont="1" applyFill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5" fillId="0" borderId="0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center"/>
    </xf>
    <xf numFmtId="0" fontId="0" fillId="0" borderId="0" xfId="0" applyAlignment="1">
      <alignment vertical="center"/>
    </xf>
    <xf numFmtId="0" fontId="3" fillId="0" borderId="0" xfId="0" applyFont="1" applyFill="1" applyAlignment="1">
      <alignment horizontal="center" vertical="center"/>
    </xf>
    <xf numFmtId="0" fontId="4" fillId="0" borderId="0" xfId="0" applyFont="1" applyFill="1" applyAlignment="1">
      <alignment vertical="center"/>
    </xf>
    <xf numFmtId="0" fontId="4" fillId="0" borderId="0" xfId="0" applyFont="1" applyFill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0" xfId="1" applyFont="1"/>
    <xf numFmtId="0" fontId="0" fillId="0" borderId="0" xfId="0" applyAlignment="1">
      <alignment horizontal="right"/>
    </xf>
    <xf numFmtId="44" fontId="0" fillId="0" borderId="0" xfId="0" applyNumberFormat="1"/>
    <xf numFmtId="9" fontId="0" fillId="0" borderId="0" xfId="2" applyFont="1" applyAlignment="1">
      <alignment horizontal="center"/>
    </xf>
    <xf numFmtId="44" fontId="0" fillId="0" borderId="0" xfId="0" applyNumberFormat="1" applyAlignment="1">
      <alignment horizontal="center"/>
    </xf>
    <xf numFmtId="44" fontId="0" fillId="0" borderId="0" xfId="1" applyFont="1" applyAlignment="1">
      <alignment horizontal="center"/>
    </xf>
    <xf numFmtId="10" fontId="0" fillId="0" borderId="0" xfId="2" applyNumberFormat="1" applyFont="1" applyAlignment="1">
      <alignment horizontal="center"/>
    </xf>
    <xf numFmtId="0" fontId="6" fillId="0" borderId="0" xfId="0" applyFont="1" applyFill="1" applyAlignment="1">
      <alignment horizontal="center"/>
    </xf>
    <xf numFmtId="0" fontId="3" fillId="0" borderId="0" xfId="0" applyFont="1" applyFill="1" applyAlignment="1">
      <alignment vertical="center"/>
    </xf>
    <xf numFmtId="44" fontId="3" fillId="0" borderId="0" xfId="1" applyFont="1" applyFill="1" applyAlignment="1">
      <alignment horizontal="center" vertical="center"/>
    </xf>
    <xf numFmtId="1" fontId="3" fillId="0" borderId="0" xfId="0" applyNumberFormat="1" applyFont="1" applyFill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44" fontId="0" fillId="0" borderId="0" xfId="1" applyFont="1" applyFill="1" applyAlignment="1">
      <alignment horizontal="center" vertical="center"/>
    </xf>
    <xf numFmtId="0" fontId="3" fillId="0" borderId="0" xfId="0" applyFont="1" applyFill="1" applyAlignment="1">
      <alignment vertical="center" wrapText="1"/>
    </xf>
    <xf numFmtId="0" fontId="3" fillId="0" borderId="0" xfId="0" applyFont="1" applyFill="1"/>
    <xf numFmtId="44" fontId="4" fillId="0" borderId="0" xfId="1" applyNumberFormat="1" applyFont="1" applyFill="1" applyAlignment="1">
      <alignment horizontal="center" vertical="center"/>
    </xf>
    <xf numFmtId="1" fontId="4" fillId="0" borderId="0" xfId="0" applyNumberFormat="1" applyFont="1" applyFill="1" applyAlignment="1">
      <alignment horizontal="center"/>
    </xf>
    <xf numFmtId="1" fontId="3" fillId="0" borderId="0" xfId="0" applyNumberFormat="1" applyFont="1" applyFill="1" applyAlignment="1">
      <alignment horizontal="center"/>
    </xf>
    <xf numFmtId="44" fontId="3" fillId="0" borderId="0" xfId="1" applyFont="1" applyFill="1" applyAlignment="1">
      <alignment horizontal="center"/>
    </xf>
    <xf numFmtId="0" fontId="3" fillId="0" borderId="0" xfId="0" applyFont="1" applyFill="1" applyAlignment="1">
      <alignment wrapText="1"/>
    </xf>
  </cellXfs>
  <cellStyles count="3">
    <cellStyle name="Moeda" xfId="1" builtinId="4"/>
    <cellStyle name="Normal" xfId="0" builtinId="0"/>
    <cellStyle name="Porcentagem" xfId="2" builtinId="5"/>
  </cellStyles>
  <dxfs count="21"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</dxf>
    <dxf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3" name="Tabela24" displayName="Tabela24" ref="B1:J98" totalsRowShown="0" headerRowDxfId="20" dataDxfId="19">
  <autoFilter ref="B1:J98"/>
  <sortState ref="B2:J98">
    <sortCondition ref="I1:I98"/>
  </sortState>
  <tableColumns count="9">
    <tableColumn id="1" name="Item" dataDxfId="18" dataCellStyle="Normal"/>
    <tableColumn id="8" name="Local" dataDxfId="17"/>
    <tableColumn id="2" name="Insumo ou Serviço" dataDxfId="16" dataCellStyle="Normal"/>
    <tableColumn id="3" name="Quantidade" dataDxfId="15" dataCellStyle="Normal"/>
    <tableColumn id="4" name="Unidade" dataDxfId="14" dataCellStyle="Normal"/>
    <tableColumn id="5" name="Preço Unitário" dataDxfId="13" dataCellStyle="Moeda"/>
    <tableColumn id="6" name="Preço Total" dataDxfId="12" dataCellStyle="Moeda">
      <calculatedColumnFormula>G2*E2</calculatedColumnFormula>
    </tableColumn>
    <tableColumn id="7" name="Aplicação" dataDxfId="11" dataCellStyle="Normal"/>
    <tableColumn id="11" name="Grupo Serviço premilinar " dataDxfId="1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Tabela2" displayName="Tabela2" ref="B3:I54" totalsRowShown="0" headerRowDxfId="9" dataDxfId="8">
  <autoFilter ref="B3:I54"/>
  <sortState ref="B4:H53">
    <sortCondition ref="H3:H53"/>
  </sortState>
  <tableColumns count="8">
    <tableColumn id="1" name="Item" dataDxfId="7" dataCellStyle="Normal"/>
    <tableColumn id="2" name="Descrição" dataDxfId="6" dataCellStyle="Normal"/>
    <tableColumn id="3" name="Quantidade" dataDxfId="5" dataCellStyle="Normal"/>
    <tableColumn id="4" name="Unidade" dataDxfId="4" dataCellStyle="Normal"/>
    <tableColumn id="5" name="Preço Unitário" dataDxfId="3" dataCellStyle="Moeda"/>
    <tableColumn id="6" name="Preço Total" dataDxfId="2" dataCellStyle="Moeda">
      <calculatedColumnFormula>F4*D4</calculatedColumnFormula>
    </tableColumn>
    <tableColumn id="7" name="Aplicação" dataDxfId="1" dataCellStyle="Normal"/>
    <tableColumn id="8" name="Grupo Serviço premilinar " dataDxfId="0" dataCellStyle="Norma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7"/>
  <sheetViews>
    <sheetView showGridLines="0" workbookViewId="0">
      <pane ySplit="1" topLeftCell="A32" activePane="bottomLeft" state="frozen"/>
      <selection pane="bottomLeft" activeCell="A367" sqref="A367"/>
    </sheetView>
  </sheetViews>
  <sheetFormatPr defaultRowHeight="15" x14ac:dyDescent="0.25"/>
  <cols>
    <col min="1" max="1" width="14" customWidth="1"/>
    <col min="2" max="2" width="42" customWidth="1"/>
    <col min="3" max="3" width="14" customWidth="1"/>
    <col min="4" max="4" width="34" customWidth="1"/>
    <col min="5" max="5" width="14" customWidth="1"/>
    <col min="6" max="6" width="22" customWidth="1"/>
    <col min="7" max="7" width="16" customWidth="1"/>
    <col min="8" max="9" width="13" customWidth="1"/>
    <col min="10" max="10" width="14" customWidth="1"/>
    <col min="11" max="11" width="20" customWidth="1"/>
    <col min="12" max="12" width="18" customWidth="1"/>
    <col min="13" max="13" width="3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 t="s">
        <v>13</v>
      </c>
      <c r="B2" s="2" t="s">
        <v>14</v>
      </c>
      <c r="C2" s="2"/>
      <c r="D2" s="2"/>
      <c r="E2" s="2" t="s">
        <v>15</v>
      </c>
      <c r="F2" s="2"/>
      <c r="G2" s="2"/>
      <c r="H2" s="3"/>
      <c r="I2" s="3"/>
      <c r="J2" s="4"/>
      <c r="K2" s="5"/>
      <c r="L2" s="5"/>
      <c r="M2" s="2"/>
    </row>
    <row r="3" spans="1:13" x14ac:dyDescent="0.25">
      <c r="A3" s="6" t="s">
        <v>16</v>
      </c>
      <c r="B3" s="6" t="s">
        <v>17</v>
      </c>
      <c r="C3" s="6" t="s">
        <v>13</v>
      </c>
      <c r="D3" s="6"/>
      <c r="E3" s="6" t="s">
        <v>18</v>
      </c>
      <c r="F3" s="6"/>
      <c r="G3" s="6"/>
      <c r="H3" s="7"/>
      <c r="I3" s="7"/>
      <c r="J3" s="8"/>
      <c r="K3" s="9"/>
      <c r="L3" s="9"/>
      <c r="M3" s="6"/>
    </row>
    <row r="4" spans="1:13" x14ac:dyDescent="0.25">
      <c r="A4" s="10" t="s">
        <v>20</v>
      </c>
      <c r="B4" s="10" t="s">
        <v>21</v>
      </c>
      <c r="C4" s="10" t="s">
        <v>16</v>
      </c>
      <c r="D4" s="10" t="s">
        <v>19</v>
      </c>
      <c r="E4" s="10" t="s">
        <v>1</v>
      </c>
      <c r="F4" s="10"/>
      <c r="G4" s="10"/>
      <c r="H4" s="11"/>
      <c r="I4" s="11"/>
      <c r="J4" s="12"/>
      <c r="K4" s="13"/>
      <c r="L4" s="13"/>
      <c r="M4" s="10"/>
    </row>
    <row r="5" spans="1:13" x14ac:dyDescent="0.25">
      <c r="A5" s="10" t="s">
        <v>23</v>
      </c>
      <c r="B5" s="10" t="s">
        <v>24</v>
      </c>
      <c r="C5" s="10" t="s">
        <v>16</v>
      </c>
      <c r="D5" s="10" t="s">
        <v>22</v>
      </c>
      <c r="E5" s="10" t="s">
        <v>1</v>
      </c>
      <c r="F5" s="10"/>
      <c r="G5" s="10"/>
      <c r="H5" s="11"/>
      <c r="I5" s="11"/>
      <c r="J5" s="12"/>
      <c r="K5" s="13"/>
      <c r="L5" s="13"/>
      <c r="M5" s="10"/>
    </row>
    <row r="6" spans="1:13" x14ac:dyDescent="0.25">
      <c r="A6" s="6" t="s">
        <v>26</v>
      </c>
      <c r="B6" s="6" t="s">
        <v>27</v>
      </c>
      <c r="C6" s="6" t="s">
        <v>13</v>
      </c>
      <c r="D6" s="6" t="s">
        <v>16</v>
      </c>
      <c r="E6" s="6" t="s">
        <v>18</v>
      </c>
      <c r="F6" s="6"/>
      <c r="G6" s="6"/>
      <c r="H6" s="7"/>
      <c r="I6" s="7"/>
      <c r="J6" s="8"/>
      <c r="K6" s="9"/>
      <c r="L6" s="9"/>
      <c r="M6" s="6"/>
    </row>
    <row r="7" spans="1:13" x14ac:dyDescent="0.25">
      <c r="A7" s="10" t="s">
        <v>28</v>
      </c>
      <c r="B7" s="10" t="s">
        <v>29</v>
      </c>
      <c r="C7" s="10" t="s">
        <v>26</v>
      </c>
      <c r="D7" s="10" t="s">
        <v>25</v>
      </c>
      <c r="E7" s="10" t="s">
        <v>1</v>
      </c>
      <c r="F7" s="10"/>
      <c r="G7" s="10"/>
      <c r="H7" s="11"/>
      <c r="I7" s="11"/>
      <c r="J7" s="12"/>
      <c r="K7" s="13"/>
      <c r="L7" s="13"/>
      <c r="M7" s="10"/>
    </row>
    <row r="8" spans="1:13" x14ac:dyDescent="0.25">
      <c r="A8" s="10" t="s">
        <v>31</v>
      </c>
      <c r="B8" s="10" t="s">
        <v>32</v>
      </c>
      <c r="C8" s="10" t="s">
        <v>26</v>
      </c>
      <c r="D8" s="10" t="s">
        <v>23</v>
      </c>
      <c r="E8" s="10" t="s">
        <v>1</v>
      </c>
      <c r="F8" s="10"/>
      <c r="G8" s="10"/>
      <c r="H8" s="11"/>
      <c r="I8" s="11"/>
      <c r="J8" s="12"/>
      <c r="K8" s="13"/>
      <c r="L8" s="13"/>
      <c r="M8" s="10"/>
    </row>
    <row r="9" spans="1:13" x14ac:dyDescent="0.25">
      <c r="A9" s="10" t="s">
        <v>33</v>
      </c>
      <c r="B9" s="10" t="s">
        <v>34</v>
      </c>
      <c r="C9" s="10" t="s">
        <v>26</v>
      </c>
      <c r="D9" s="10" t="s">
        <v>23</v>
      </c>
      <c r="E9" s="10" t="s">
        <v>1</v>
      </c>
      <c r="F9" s="10"/>
      <c r="G9" s="10"/>
      <c r="H9" s="11"/>
      <c r="I9" s="11"/>
      <c r="J9" s="12"/>
      <c r="K9" s="13"/>
      <c r="L9" s="13"/>
      <c r="M9" s="10"/>
    </row>
    <row r="10" spans="1:13" x14ac:dyDescent="0.25">
      <c r="A10" s="10" t="s">
        <v>35</v>
      </c>
      <c r="B10" s="10" t="s">
        <v>36</v>
      </c>
      <c r="C10" s="10" t="s">
        <v>26</v>
      </c>
      <c r="D10" s="10" t="s">
        <v>20</v>
      </c>
      <c r="E10" s="10" t="s">
        <v>1</v>
      </c>
      <c r="F10" s="10"/>
      <c r="G10" s="10"/>
      <c r="H10" s="11"/>
      <c r="I10" s="11"/>
      <c r="J10" s="12"/>
      <c r="K10" s="13"/>
      <c r="L10" s="13"/>
      <c r="M10" s="10"/>
    </row>
    <row r="11" spans="1:13" x14ac:dyDescent="0.25">
      <c r="A11" s="10" t="s">
        <v>37</v>
      </c>
      <c r="B11" s="10" t="s">
        <v>38</v>
      </c>
      <c r="C11" s="10" t="s">
        <v>26</v>
      </c>
      <c r="D11" s="10" t="s">
        <v>31</v>
      </c>
      <c r="E11" s="10" t="s">
        <v>1</v>
      </c>
      <c r="F11" s="10"/>
      <c r="G11" s="10"/>
      <c r="H11" s="11"/>
      <c r="I11" s="11"/>
      <c r="J11" s="12"/>
      <c r="K11" s="13"/>
      <c r="L11" s="13"/>
      <c r="M11" s="10"/>
    </row>
    <row r="12" spans="1:13" x14ac:dyDescent="0.25">
      <c r="A12" s="10" t="s">
        <v>39</v>
      </c>
      <c r="B12" s="10" t="s">
        <v>40</v>
      </c>
      <c r="C12" s="10" t="s">
        <v>26</v>
      </c>
      <c r="D12" s="10" t="s">
        <v>30</v>
      </c>
      <c r="E12" s="10" t="s">
        <v>1</v>
      </c>
      <c r="F12" s="10"/>
      <c r="G12" s="10"/>
      <c r="H12" s="11"/>
      <c r="I12" s="11"/>
      <c r="J12" s="12"/>
      <c r="K12" s="13"/>
      <c r="L12" s="13"/>
      <c r="M12" s="10"/>
    </row>
    <row r="13" spans="1:13" x14ac:dyDescent="0.25">
      <c r="A13" s="10" t="s">
        <v>41</v>
      </c>
      <c r="B13" s="10" t="s">
        <v>42</v>
      </c>
      <c r="C13" s="10" t="s">
        <v>26</v>
      </c>
      <c r="D13" s="10" t="s">
        <v>30</v>
      </c>
      <c r="E13" s="10" t="s">
        <v>1</v>
      </c>
      <c r="F13" s="10"/>
      <c r="G13" s="10"/>
      <c r="H13" s="11"/>
      <c r="I13" s="11"/>
      <c r="J13" s="12"/>
      <c r="K13" s="13"/>
      <c r="L13" s="13"/>
      <c r="M13" s="10"/>
    </row>
    <row r="14" spans="1:13" x14ac:dyDescent="0.25">
      <c r="A14" s="10" t="s">
        <v>43</v>
      </c>
      <c r="B14" s="10" t="s">
        <v>44</v>
      </c>
      <c r="C14" s="10" t="s">
        <v>26</v>
      </c>
      <c r="D14" s="10" t="s">
        <v>41</v>
      </c>
      <c r="E14" s="10" t="s">
        <v>1</v>
      </c>
      <c r="F14" s="10"/>
      <c r="G14" s="10"/>
      <c r="H14" s="11"/>
      <c r="I14" s="11"/>
      <c r="J14" s="12"/>
      <c r="K14" s="13"/>
      <c r="L14" s="13"/>
      <c r="M14" s="10"/>
    </row>
    <row r="15" spans="1:13" x14ac:dyDescent="0.25">
      <c r="A15" s="10" t="s">
        <v>45</v>
      </c>
      <c r="B15" s="10" t="s">
        <v>46</v>
      </c>
      <c r="C15" s="10" t="s">
        <v>26</v>
      </c>
      <c r="D15" s="10" t="s">
        <v>41</v>
      </c>
      <c r="E15" s="10" t="s">
        <v>1</v>
      </c>
      <c r="F15" s="10"/>
      <c r="G15" s="10"/>
      <c r="H15" s="11"/>
      <c r="I15" s="11"/>
      <c r="J15" s="12"/>
      <c r="K15" s="13"/>
      <c r="L15" s="13"/>
      <c r="M15" s="10"/>
    </row>
    <row r="16" spans="1:13" x14ac:dyDescent="0.25">
      <c r="A16" s="10" t="s">
        <v>47</v>
      </c>
      <c r="B16" s="10" t="s">
        <v>48</v>
      </c>
      <c r="C16" s="10" t="s">
        <v>26</v>
      </c>
      <c r="D16" s="10" t="s">
        <v>30</v>
      </c>
      <c r="E16" s="10" t="s">
        <v>1</v>
      </c>
      <c r="F16" s="10"/>
      <c r="G16" s="10"/>
      <c r="H16" s="11"/>
      <c r="I16" s="11"/>
      <c r="J16" s="12"/>
      <c r="K16" s="13"/>
      <c r="L16" s="13"/>
      <c r="M16" s="10"/>
    </row>
    <row r="17" spans="1:13" x14ac:dyDescent="0.25">
      <c r="A17" s="10" t="s">
        <v>49</v>
      </c>
      <c r="B17" s="10" t="s">
        <v>50</v>
      </c>
      <c r="C17" s="10" t="s">
        <v>26</v>
      </c>
      <c r="D17" s="10" t="s">
        <v>30</v>
      </c>
      <c r="E17" s="10" t="s">
        <v>1</v>
      </c>
      <c r="F17" s="10"/>
      <c r="G17" s="10"/>
      <c r="H17" s="11"/>
      <c r="I17" s="11"/>
      <c r="J17" s="12"/>
      <c r="K17" s="13"/>
      <c r="L17" s="13"/>
      <c r="M17" s="10"/>
    </row>
    <row r="18" spans="1:13" x14ac:dyDescent="0.25">
      <c r="A18" s="10" t="s">
        <v>51</v>
      </c>
      <c r="B18" s="10" t="s">
        <v>52</v>
      </c>
      <c r="C18" s="10" t="s">
        <v>26</v>
      </c>
      <c r="D18" s="10" t="s">
        <v>20</v>
      </c>
      <c r="E18" s="10" t="s">
        <v>1</v>
      </c>
      <c r="F18" s="10"/>
      <c r="G18" s="10"/>
      <c r="H18" s="11"/>
      <c r="I18" s="11"/>
      <c r="J18" s="12"/>
      <c r="K18" s="13"/>
      <c r="L18" s="13"/>
      <c r="M18" s="10"/>
    </row>
    <row r="19" spans="1:13" x14ac:dyDescent="0.25">
      <c r="A19" s="10" t="s">
        <v>54</v>
      </c>
      <c r="B19" s="10" t="s">
        <v>55</v>
      </c>
      <c r="C19" s="10" t="s">
        <v>26</v>
      </c>
      <c r="D19" s="10" t="s">
        <v>53</v>
      </c>
      <c r="E19" s="10" t="s">
        <v>1</v>
      </c>
      <c r="F19" s="10"/>
      <c r="G19" s="10"/>
      <c r="H19" s="11"/>
      <c r="I19" s="11"/>
      <c r="J19" s="12"/>
      <c r="K19" s="13"/>
      <c r="L19" s="13"/>
      <c r="M19" s="10"/>
    </row>
    <row r="20" spans="1:13" x14ac:dyDescent="0.25">
      <c r="A20" s="2" t="s">
        <v>61</v>
      </c>
      <c r="B20" s="2" t="s">
        <v>62</v>
      </c>
      <c r="C20" s="2"/>
      <c r="D20" s="2"/>
      <c r="E20" s="2" t="s">
        <v>15</v>
      </c>
      <c r="F20" s="2"/>
      <c r="G20" s="2"/>
      <c r="H20" s="3"/>
      <c r="I20" s="3"/>
      <c r="J20" s="4"/>
      <c r="K20" s="5"/>
      <c r="L20" s="5"/>
      <c r="M20" s="2"/>
    </row>
    <row r="21" spans="1:13" x14ac:dyDescent="0.25">
      <c r="A21" s="6" t="s">
        <v>63</v>
      </c>
      <c r="B21" s="6" t="s">
        <v>64</v>
      </c>
      <c r="C21" s="6" t="s">
        <v>61</v>
      </c>
      <c r="D21" s="6" t="s">
        <v>59</v>
      </c>
      <c r="E21" s="6" t="s">
        <v>18</v>
      </c>
      <c r="F21" s="6"/>
      <c r="G21" s="6"/>
      <c r="H21" s="7"/>
      <c r="I21" s="7"/>
      <c r="J21" s="8"/>
      <c r="K21" s="9"/>
      <c r="L21" s="9"/>
      <c r="M21" s="6"/>
    </row>
    <row r="22" spans="1:13" x14ac:dyDescent="0.25">
      <c r="A22" s="10" t="s">
        <v>65</v>
      </c>
      <c r="B22" s="10" t="s">
        <v>66</v>
      </c>
      <c r="C22" s="10" t="s">
        <v>63</v>
      </c>
      <c r="D22" s="10" t="s">
        <v>59</v>
      </c>
      <c r="E22" s="10" t="s">
        <v>1</v>
      </c>
      <c r="F22" s="10"/>
      <c r="G22" s="10"/>
      <c r="H22" s="11"/>
      <c r="I22" s="11"/>
      <c r="J22" s="12"/>
      <c r="K22" s="13"/>
      <c r="L22" s="13"/>
      <c r="M22" s="10"/>
    </row>
    <row r="23" spans="1:13" x14ac:dyDescent="0.25">
      <c r="A23" s="2" t="s">
        <v>69</v>
      </c>
      <c r="B23" s="2" t="s">
        <v>70</v>
      </c>
      <c r="C23" s="2"/>
      <c r="D23" s="2"/>
      <c r="E23" s="2" t="s">
        <v>15</v>
      </c>
      <c r="F23" s="2"/>
      <c r="G23" s="2"/>
      <c r="H23" s="3"/>
      <c r="I23" s="3"/>
      <c r="J23" s="4"/>
      <c r="K23" s="5"/>
      <c r="L23" s="5"/>
      <c r="M23" s="2"/>
    </row>
    <row r="24" spans="1:13" x14ac:dyDescent="0.25">
      <c r="A24" s="6" t="s">
        <v>71</v>
      </c>
      <c r="B24" s="6" t="s">
        <v>72</v>
      </c>
      <c r="C24" s="6" t="s">
        <v>69</v>
      </c>
      <c r="D24" s="6" t="s">
        <v>68</v>
      </c>
      <c r="E24" s="6" t="s">
        <v>18</v>
      </c>
      <c r="F24" s="6"/>
      <c r="G24" s="6"/>
      <c r="H24" s="7"/>
      <c r="I24" s="7"/>
      <c r="J24" s="8"/>
      <c r="K24" s="9"/>
      <c r="L24" s="9"/>
      <c r="M24" s="6"/>
    </row>
    <row r="25" spans="1:13" x14ac:dyDescent="0.25">
      <c r="A25" s="10" t="s">
        <v>74</v>
      </c>
      <c r="B25" s="10" t="s">
        <v>75</v>
      </c>
      <c r="C25" s="10" t="s">
        <v>71</v>
      </c>
      <c r="D25" s="10" t="s">
        <v>73</v>
      </c>
      <c r="E25" s="10" t="s">
        <v>1</v>
      </c>
      <c r="F25" s="10"/>
      <c r="G25" s="10"/>
      <c r="H25" s="11"/>
      <c r="I25" s="11"/>
      <c r="J25" s="12"/>
      <c r="K25" s="13"/>
      <c r="L25" s="13"/>
      <c r="M25" s="10"/>
    </row>
    <row r="26" spans="1:13" x14ac:dyDescent="0.25">
      <c r="A26" s="10" t="s">
        <v>76</v>
      </c>
      <c r="B26" s="10" t="s">
        <v>77</v>
      </c>
      <c r="C26" s="10" t="s">
        <v>71</v>
      </c>
      <c r="D26" s="10" t="s">
        <v>73</v>
      </c>
      <c r="E26" s="10" t="s">
        <v>1</v>
      </c>
      <c r="F26" s="10"/>
      <c r="G26" s="10"/>
      <c r="H26" s="11"/>
      <c r="I26" s="11"/>
      <c r="J26" s="12"/>
      <c r="K26" s="13"/>
      <c r="L26" s="13"/>
      <c r="M26" s="10"/>
    </row>
    <row r="27" spans="1:13" x14ac:dyDescent="0.25">
      <c r="A27" s="6" t="s">
        <v>78</v>
      </c>
      <c r="B27" s="6" t="s">
        <v>79</v>
      </c>
      <c r="C27" s="6" t="s">
        <v>69</v>
      </c>
      <c r="D27" s="6" t="s">
        <v>76</v>
      </c>
      <c r="E27" s="6" t="s">
        <v>18</v>
      </c>
      <c r="F27" s="6"/>
      <c r="G27" s="6"/>
      <c r="H27" s="7"/>
      <c r="I27" s="7"/>
      <c r="J27" s="8"/>
      <c r="K27" s="9"/>
      <c r="L27" s="9"/>
      <c r="M27" s="6"/>
    </row>
    <row r="28" spans="1:13" x14ac:dyDescent="0.25">
      <c r="A28" s="10" t="s">
        <v>80</v>
      </c>
      <c r="B28" s="10" t="s">
        <v>81</v>
      </c>
      <c r="C28" s="10" t="s">
        <v>78</v>
      </c>
      <c r="D28" s="10" t="s">
        <v>76</v>
      </c>
      <c r="E28" s="10" t="s">
        <v>1</v>
      </c>
      <c r="F28" s="10"/>
      <c r="G28" s="10"/>
      <c r="H28" s="11"/>
      <c r="I28" s="11"/>
      <c r="J28" s="12"/>
      <c r="K28" s="13"/>
      <c r="L28" s="13"/>
      <c r="M28" s="10"/>
    </row>
    <row r="29" spans="1:13" x14ac:dyDescent="0.25">
      <c r="A29" s="10" t="s">
        <v>83</v>
      </c>
      <c r="B29" s="10" t="s">
        <v>84</v>
      </c>
      <c r="C29" s="10" t="s">
        <v>78</v>
      </c>
      <c r="D29" s="10" t="s">
        <v>82</v>
      </c>
      <c r="E29" s="10" t="s">
        <v>1</v>
      </c>
      <c r="F29" s="10"/>
      <c r="G29" s="10"/>
      <c r="H29" s="11"/>
      <c r="I29" s="11"/>
      <c r="J29" s="12"/>
      <c r="K29" s="13"/>
      <c r="L29" s="13"/>
      <c r="M29" s="10"/>
    </row>
    <row r="30" spans="1:13" x14ac:dyDescent="0.25">
      <c r="A30" s="10" t="s">
        <v>85</v>
      </c>
      <c r="B30" s="10" t="s">
        <v>86</v>
      </c>
      <c r="C30" s="10" t="s">
        <v>78</v>
      </c>
      <c r="D30" s="10" t="s">
        <v>83</v>
      </c>
      <c r="E30" s="10" t="s">
        <v>1</v>
      </c>
      <c r="F30" s="10"/>
      <c r="G30" s="10"/>
      <c r="H30" s="11"/>
      <c r="I30" s="11"/>
      <c r="J30" s="12"/>
      <c r="K30" s="13"/>
      <c r="L30" s="13"/>
      <c r="M30" s="10"/>
    </row>
    <row r="31" spans="1:13" x14ac:dyDescent="0.25">
      <c r="A31" s="10" t="s">
        <v>87</v>
      </c>
      <c r="B31" s="10" t="s">
        <v>88</v>
      </c>
      <c r="C31" s="10" t="s">
        <v>78</v>
      </c>
      <c r="D31" s="10" t="s">
        <v>85</v>
      </c>
      <c r="E31" s="10" t="s">
        <v>1</v>
      </c>
      <c r="F31" s="10"/>
      <c r="G31" s="10"/>
      <c r="H31" s="11"/>
      <c r="I31" s="11"/>
      <c r="J31" s="12"/>
      <c r="K31" s="13"/>
      <c r="L31" s="13"/>
      <c r="M31" s="10"/>
    </row>
    <row r="32" spans="1:13" x14ac:dyDescent="0.25">
      <c r="A32" s="2" t="s">
        <v>89</v>
      </c>
      <c r="B32" s="2" t="s">
        <v>90</v>
      </c>
      <c r="C32" s="2"/>
      <c r="D32" s="2"/>
      <c r="E32" s="2" t="s">
        <v>15</v>
      </c>
      <c r="F32" s="2"/>
      <c r="G32" s="2"/>
      <c r="H32" s="3"/>
      <c r="I32" s="3"/>
      <c r="J32" s="4"/>
      <c r="K32" s="5"/>
      <c r="L32" s="5"/>
      <c r="M32" s="2"/>
    </row>
    <row r="33" spans="1:13" x14ac:dyDescent="0.25">
      <c r="A33" s="6" t="s">
        <v>91</v>
      </c>
      <c r="B33" s="6" t="s">
        <v>92</v>
      </c>
      <c r="C33" s="6" t="s">
        <v>89</v>
      </c>
      <c r="D33" s="6" t="s">
        <v>87</v>
      </c>
      <c r="E33" s="6" t="s">
        <v>18</v>
      </c>
      <c r="F33" s="6"/>
      <c r="G33" s="6"/>
      <c r="H33" s="7"/>
      <c r="I33" s="7"/>
      <c r="J33" s="8"/>
      <c r="K33" s="9"/>
      <c r="L33" s="9"/>
      <c r="M33" s="6"/>
    </row>
    <row r="34" spans="1:13" x14ac:dyDescent="0.25">
      <c r="A34" s="10" t="s">
        <v>93</v>
      </c>
      <c r="B34" s="10" t="s">
        <v>94</v>
      </c>
      <c r="C34" s="10" t="s">
        <v>91</v>
      </c>
      <c r="D34" s="10" t="s">
        <v>87</v>
      </c>
      <c r="E34" s="10" t="s">
        <v>1</v>
      </c>
      <c r="F34" s="10"/>
      <c r="G34" s="10"/>
      <c r="H34" s="11"/>
      <c r="I34" s="11"/>
      <c r="J34" s="12"/>
      <c r="K34" s="13"/>
      <c r="L34" s="13"/>
      <c r="M34" s="10"/>
    </row>
    <row r="35" spans="1:13" x14ac:dyDescent="0.25">
      <c r="A35" s="10" t="s">
        <v>95</v>
      </c>
      <c r="B35" s="10" t="s">
        <v>96</v>
      </c>
      <c r="C35" s="10" t="s">
        <v>91</v>
      </c>
      <c r="D35" s="10" t="s">
        <v>87</v>
      </c>
      <c r="E35" s="10" t="s">
        <v>1</v>
      </c>
      <c r="F35" s="10"/>
      <c r="G35" s="10"/>
      <c r="H35" s="11"/>
      <c r="I35" s="11"/>
      <c r="J35" s="12"/>
      <c r="K35" s="13"/>
      <c r="L35" s="13"/>
      <c r="M35" s="10"/>
    </row>
    <row r="36" spans="1:13" x14ac:dyDescent="0.25">
      <c r="A36" s="10" t="s">
        <v>97</v>
      </c>
      <c r="B36" s="10" t="s">
        <v>98</v>
      </c>
      <c r="C36" s="10" t="s">
        <v>91</v>
      </c>
      <c r="D36" s="10" t="s">
        <v>95</v>
      </c>
      <c r="E36" s="10" t="s">
        <v>1</v>
      </c>
      <c r="F36" s="10"/>
      <c r="G36" s="10"/>
      <c r="H36" s="11"/>
      <c r="I36" s="11"/>
      <c r="J36" s="12"/>
      <c r="K36" s="13"/>
      <c r="L36" s="13"/>
      <c r="M36" s="10"/>
    </row>
    <row r="37" spans="1:13" x14ac:dyDescent="0.25">
      <c r="A37" s="10" t="s">
        <v>99</v>
      </c>
      <c r="B37" s="10" t="s">
        <v>100</v>
      </c>
      <c r="C37" s="10" t="s">
        <v>91</v>
      </c>
      <c r="D37" s="10" t="s">
        <v>101</v>
      </c>
      <c r="E37" s="10" t="s">
        <v>1</v>
      </c>
      <c r="F37" s="10"/>
      <c r="G37" s="10"/>
      <c r="H37" s="11"/>
      <c r="I37" s="11"/>
      <c r="J37" s="12"/>
      <c r="K37" s="13"/>
      <c r="L37" s="13"/>
      <c r="M37" s="10"/>
    </row>
    <row r="38" spans="1:13" x14ac:dyDescent="0.25">
      <c r="A38" s="10" t="s">
        <v>102</v>
      </c>
      <c r="B38" s="10" t="s">
        <v>103</v>
      </c>
      <c r="C38" s="10" t="s">
        <v>91</v>
      </c>
      <c r="D38" s="10" t="s">
        <v>99</v>
      </c>
      <c r="E38" s="10" t="s">
        <v>1</v>
      </c>
      <c r="F38" s="10"/>
      <c r="G38" s="10"/>
      <c r="H38" s="11"/>
      <c r="I38" s="11"/>
      <c r="J38" s="12"/>
      <c r="K38" s="13"/>
      <c r="L38" s="13"/>
      <c r="M38" s="10"/>
    </row>
    <row r="39" spans="1:13" x14ac:dyDescent="0.25">
      <c r="A39" s="2" t="s">
        <v>108</v>
      </c>
      <c r="B39" s="2" t="s">
        <v>109</v>
      </c>
      <c r="C39" s="2"/>
      <c r="D39" s="2"/>
      <c r="E39" s="2" t="s">
        <v>15</v>
      </c>
      <c r="F39" s="2"/>
      <c r="G39" s="2"/>
      <c r="H39" s="3"/>
      <c r="I39" s="3"/>
      <c r="J39" s="4"/>
      <c r="K39" s="5"/>
      <c r="L39" s="5"/>
      <c r="M39" s="2"/>
    </row>
    <row r="40" spans="1:13" x14ac:dyDescent="0.25">
      <c r="A40" s="6" t="s">
        <v>110</v>
      </c>
      <c r="B40" s="6" t="s">
        <v>84</v>
      </c>
      <c r="C40" s="6" t="s">
        <v>108</v>
      </c>
      <c r="D40" s="6" t="s">
        <v>85</v>
      </c>
      <c r="E40" s="6" t="s">
        <v>18</v>
      </c>
      <c r="F40" s="6"/>
      <c r="G40" s="6"/>
      <c r="H40" s="7"/>
      <c r="I40" s="7"/>
      <c r="J40" s="8"/>
      <c r="K40" s="9"/>
      <c r="L40" s="9"/>
      <c r="M40" s="6"/>
    </row>
    <row r="41" spans="1:13" x14ac:dyDescent="0.25">
      <c r="A41" s="10" t="s">
        <v>111</v>
      </c>
      <c r="B41" s="10" t="s">
        <v>112</v>
      </c>
      <c r="C41" s="10" t="s">
        <v>110</v>
      </c>
      <c r="D41" s="10" t="s">
        <v>85</v>
      </c>
      <c r="E41" s="10" t="s">
        <v>1</v>
      </c>
      <c r="F41" s="10"/>
      <c r="G41" s="10"/>
      <c r="H41" s="11"/>
      <c r="I41" s="11"/>
      <c r="J41" s="12"/>
      <c r="K41" s="13"/>
      <c r="L41" s="13"/>
      <c r="M41" s="10"/>
    </row>
    <row r="42" spans="1:13" x14ac:dyDescent="0.25">
      <c r="A42" s="6" t="s">
        <v>114</v>
      </c>
      <c r="B42" s="6" t="s">
        <v>115</v>
      </c>
      <c r="C42" s="6" t="s">
        <v>108</v>
      </c>
      <c r="D42" s="6" t="s">
        <v>113</v>
      </c>
      <c r="E42" s="6" t="s">
        <v>18</v>
      </c>
      <c r="F42" s="6"/>
      <c r="G42" s="6"/>
      <c r="H42" s="7"/>
      <c r="I42" s="7"/>
      <c r="J42" s="8"/>
      <c r="K42" s="9"/>
      <c r="L42" s="9"/>
      <c r="M42" s="6"/>
    </row>
    <row r="43" spans="1:13" x14ac:dyDescent="0.25">
      <c r="A43" s="10" t="s">
        <v>116</v>
      </c>
      <c r="B43" s="10" t="s">
        <v>117</v>
      </c>
      <c r="C43" s="10" t="s">
        <v>114</v>
      </c>
      <c r="D43" s="10" t="s">
        <v>113</v>
      </c>
      <c r="E43" s="10" t="s">
        <v>1</v>
      </c>
      <c r="F43" s="10"/>
      <c r="G43" s="10"/>
      <c r="H43" s="11"/>
      <c r="I43" s="11"/>
      <c r="J43" s="12"/>
      <c r="K43" s="13"/>
      <c r="L43" s="13"/>
      <c r="M43" s="10"/>
    </row>
    <row r="44" spans="1:13" x14ac:dyDescent="0.25">
      <c r="A44" s="6" t="s">
        <v>119</v>
      </c>
      <c r="B44" s="6" t="s">
        <v>120</v>
      </c>
      <c r="C44" s="6" t="s">
        <v>108</v>
      </c>
      <c r="D44" s="6" t="s">
        <v>118</v>
      </c>
      <c r="E44" s="6" t="s">
        <v>18</v>
      </c>
      <c r="F44" s="6"/>
      <c r="G44" s="6"/>
      <c r="H44" s="7"/>
      <c r="I44" s="7"/>
      <c r="J44" s="8"/>
      <c r="K44" s="9"/>
      <c r="L44" s="9"/>
      <c r="M44" s="6"/>
    </row>
    <row r="45" spans="1:13" x14ac:dyDescent="0.25">
      <c r="A45" s="10" t="s">
        <v>121</v>
      </c>
      <c r="B45" s="10" t="s">
        <v>122</v>
      </c>
      <c r="C45" s="10" t="s">
        <v>119</v>
      </c>
      <c r="D45" s="10" t="s">
        <v>113</v>
      </c>
      <c r="E45" s="10" t="s">
        <v>1</v>
      </c>
      <c r="F45" s="10"/>
      <c r="G45" s="10"/>
      <c r="H45" s="11"/>
      <c r="I45" s="11"/>
      <c r="J45" s="12"/>
      <c r="K45" s="13"/>
      <c r="L45" s="13"/>
      <c r="M45" s="10"/>
    </row>
    <row r="46" spans="1:13" x14ac:dyDescent="0.25">
      <c r="A46" s="10" t="s">
        <v>123</v>
      </c>
      <c r="B46" s="10" t="s">
        <v>124</v>
      </c>
      <c r="C46" s="10" t="s">
        <v>119</v>
      </c>
      <c r="D46" s="10" t="s">
        <v>121</v>
      </c>
      <c r="E46" s="10" t="s">
        <v>1</v>
      </c>
      <c r="F46" s="10"/>
      <c r="G46" s="10"/>
      <c r="H46" s="11"/>
      <c r="I46" s="11"/>
      <c r="J46" s="12"/>
      <c r="K46" s="13"/>
      <c r="L46" s="13"/>
      <c r="M46" s="10"/>
    </row>
    <row r="47" spans="1:13" x14ac:dyDescent="0.25">
      <c r="A47" s="10" t="s">
        <v>125</v>
      </c>
      <c r="B47" s="10" t="s">
        <v>126</v>
      </c>
      <c r="C47" s="10" t="s">
        <v>119</v>
      </c>
      <c r="D47" s="10" t="s">
        <v>127</v>
      </c>
      <c r="E47" s="10" t="s">
        <v>1</v>
      </c>
      <c r="F47" s="10"/>
      <c r="G47" s="10"/>
      <c r="H47" s="11"/>
      <c r="I47" s="11"/>
      <c r="J47" s="12"/>
      <c r="K47" s="13"/>
      <c r="L47" s="13"/>
      <c r="M47" s="10"/>
    </row>
    <row r="48" spans="1:13" x14ac:dyDescent="0.25">
      <c r="A48" s="6" t="s">
        <v>128</v>
      </c>
      <c r="B48" s="6" t="s">
        <v>129</v>
      </c>
      <c r="C48" s="6" t="s">
        <v>108</v>
      </c>
      <c r="D48" s="6" t="s">
        <v>118</v>
      </c>
      <c r="E48" s="6" t="s">
        <v>18</v>
      </c>
      <c r="F48" s="6"/>
      <c r="G48" s="6"/>
      <c r="H48" s="7"/>
      <c r="I48" s="7"/>
      <c r="J48" s="8"/>
      <c r="K48" s="9"/>
      <c r="L48" s="9"/>
      <c r="M48" s="6"/>
    </row>
    <row r="49" spans="1:13" x14ac:dyDescent="0.25">
      <c r="A49" s="10" t="s">
        <v>131</v>
      </c>
      <c r="B49" s="10" t="s">
        <v>132</v>
      </c>
      <c r="C49" s="10" t="s">
        <v>128</v>
      </c>
      <c r="D49" s="10" t="s">
        <v>130</v>
      </c>
      <c r="E49" s="10" t="s">
        <v>1</v>
      </c>
      <c r="F49" s="10"/>
      <c r="G49" s="10"/>
      <c r="H49" s="11"/>
      <c r="I49" s="11"/>
      <c r="J49" s="12"/>
      <c r="K49" s="13"/>
      <c r="L49" s="13"/>
      <c r="M49" s="10"/>
    </row>
    <row r="50" spans="1:13" x14ac:dyDescent="0.25">
      <c r="A50" s="10" t="s">
        <v>133</v>
      </c>
      <c r="B50" s="10" t="s">
        <v>134</v>
      </c>
      <c r="C50" s="10" t="s">
        <v>128</v>
      </c>
      <c r="D50" s="10" t="s">
        <v>131</v>
      </c>
      <c r="E50" s="10" t="s">
        <v>1</v>
      </c>
      <c r="F50" s="10"/>
      <c r="G50" s="10"/>
      <c r="H50" s="11"/>
      <c r="I50" s="11"/>
      <c r="J50" s="12"/>
      <c r="K50" s="13"/>
      <c r="L50" s="13"/>
      <c r="M50" s="10"/>
    </row>
    <row r="51" spans="1:13" x14ac:dyDescent="0.25">
      <c r="A51" s="10" t="s">
        <v>136</v>
      </c>
      <c r="B51" s="10" t="s">
        <v>137</v>
      </c>
      <c r="C51" s="10" t="s">
        <v>128</v>
      </c>
      <c r="D51" s="10" t="s">
        <v>135</v>
      </c>
      <c r="E51" s="10" t="s">
        <v>1</v>
      </c>
      <c r="F51" s="10"/>
      <c r="G51" s="10"/>
      <c r="H51" s="11"/>
      <c r="I51" s="11"/>
      <c r="J51" s="12"/>
      <c r="K51" s="13"/>
      <c r="L51" s="13"/>
      <c r="M51" s="10"/>
    </row>
    <row r="52" spans="1:13" x14ac:dyDescent="0.25">
      <c r="A52" s="6" t="s">
        <v>139</v>
      </c>
      <c r="B52" s="6" t="s">
        <v>140</v>
      </c>
      <c r="C52" s="6" t="s">
        <v>108</v>
      </c>
      <c r="D52" s="6" t="s">
        <v>141</v>
      </c>
      <c r="E52" s="6" t="s">
        <v>18</v>
      </c>
      <c r="F52" s="6"/>
      <c r="G52" s="6"/>
      <c r="H52" s="7"/>
      <c r="I52" s="7"/>
      <c r="J52" s="8"/>
      <c r="K52" s="9"/>
      <c r="L52" s="9"/>
      <c r="M52" s="6"/>
    </row>
    <row r="53" spans="1:13" x14ac:dyDescent="0.25">
      <c r="A53" s="10" t="s">
        <v>142</v>
      </c>
      <c r="B53" s="10" t="s">
        <v>132</v>
      </c>
      <c r="C53" s="10" t="s">
        <v>139</v>
      </c>
      <c r="D53" s="10" t="s">
        <v>141</v>
      </c>
      <c r="E53" s="10" t="s">
        <v>1</v>
      </c>
      <c r="F53" s="10"/>
      <c r="G53" s="10"/>
      <c r="H53" s="11"/>
      <c r="I53" s="11"/>
      <c r="J53" s="12"/>
      <c r="K53" s="13"/>
      <c r="L53" s="13"/>
      <c r="M53" s="10"/>
    </row>
    <row r="54" spans="1:13" x14ac:dyDescent="0.25">
      <c r="A54" s="10" t="s">
        <v>143</v>
      </c>
      <c r="B54" s="10" t="s">
        <v>134</v>
      </c>
      <c r="C54" s="10" t="s">
        <v>139</v>
      </c>
      <c r="D54" s="10" t="s">
        <v>142</v>
      </c>
      <c r="E54" s="10" t="s">
        <v>1</v>
      </c>
      <c r="F54" s="10"/>
      <c r="G54" s="10"/>
      <c r="H54" s="11"/>
      <c r="I54" s="11"/>
      <c r="J54" s="12"/>
      <c r="K54" s="13"/>
      <c r="L54" s="13"/>
      <c r="M54" s="10"/>
    </row>
    <row r="55" spans="1:13" x14ac:dyDescent="0.25">
      <c r="A55" s="10" t="s">
        <v>145</v>
      </c>
      <c r="B55" s="10" t="s">
        <v>137</v>
      </c>
      <c r="C55" s="10" t="s">
        <v>139</v>
      </c>
      <c r="D55" s="10" t="s">
        <v>144</v>
      </c>
      <c r="E55" s="10" t="s">
        <v>1</v>
      </c>
      <c r="F55" s="10"/>
      <c r="G55" s="10"/>
      <c r="H55" s="11"/>
      <c r="I55" s="11"/>
      <c r="J55" s="12"/>
      <c r="K55" s="13"/>
      <c r="L55" s="13"/>
      <c r="M55" s="10"/>
    </row>
    <row r="56" spans="1:13" x14ac:dyDescent="0.25">
      <c r="A56" s="2" t="s">
        <v>147</v>
      </c>
      <c r="B56" s="2" t="s">
        <v>148</v>
      </c>
      <c r="C56" s="2"/>
      <c r="D56" s="2"/>
      <c r="E56" s="2" t="s">
        <v>15</v>
      </c>
      <c r="F56" s="2"/>
      <c r="G56" s="2"/>
      <c r="H56" s="3"/>
      <c r="I56" s="3"/>
      <c r="J56" s="4"/>
      <c r="K56" s="5"/>
      <c r="L56" s="5"/>
      <c r="M56" s="2"/>
    </row>
    <row r="57" spans="1:13" x14ac:dyDescent="0.25">
      <c r="A57" s="6" t="s">
        <v>149</v>
      </c>
      <c r="B57" s="6" t="s">
        <v>150</v>
      </c>
      <c r="C57" s="6" t="s">
        <v>147</v>
      </c>
      <c r="D57" s="6" t="s">
        <v>151</v>
      </c>
      <c r="E57" s="6" t="s">
        <v>18</v>
      </c>
      <c r="F57" s="6"/>
      <c r="G57" s="6"/>
      <c r="H57" s="7"/>
      <c r="I57" s="7"/>
      <c r="J57" s="8"/>
      <c r="K57" s="9"/>
      <c r="L57" s="9"/>
      <c r="M57" s="6"/>
    </row>
    <row r="58" spans="1:13" x14ac:dyDescent="0.25">
      <c r="A58" s="10" t="s">
        <v>152</v>
      </c>
      <c r="B58" s="10" t="s">
        <v>153</v>
      </c>
      <c r="C58" s="10" t="s">
        <v>149</v>
      </c>
      <c r="D58" s="10" t="s">
        <v>146</v>
      </c>
      <c r="E58" s="10" t="s">
        <v>1</v>
      </c>
      <c r="F58" s="10"/>
      <c r="G58" s="10"/>
      <c r="H58" s="11"/>
      <c r="I58" s="11"/>
      <c r="J58" s="12"/>
      <c r="K58" s="13"/>
      <c r="L58" s="13"/>
      <c r="M58" s="10"/>
    </row>
    <row r="59" spans="1:13" x14ac:dyDescent="0.25">
      <c r="A59" s="10" t="s">
        <v>154</v>
      </c>
      <c r="B59" s="10" t="s">
        <v>155</v>
      </c>
      <c r="C59" s="10" t="s">
        <v>149</v>
      </c>
      <c r="D59" s="10" t="s">
        <v>152</v>
      </c>
      <c r="E59" s="10" t="s">
        <v>1</v>
      </c>
      <c r="F59" s="10"/>
      <c r="G59" s="10"/>
      <c r="H59" s="11"/>
      <c r="I59" s="11"/>
      <c r="J59" s="12"/>
      <c r="K59" s="13"/>
      <c r="L59" s="13"/>
      <c r="M59" s="10"/>
    </row>
    <row r="60" spans="1:13" x14ac:dyDescent="0.25">
      <c r="A60" s="10" t="s">
        <v>156</v>
      </c>
      <c r="B60" s="10" t="s">
        <v>157</v>
      </c>
      <c r="C60" s="10" t="s">
        <v>149</v>
      </c>
      <c r="D60" s="10" t="s">
        <v>154</v>
      </c>
      <c r="E60" s="10" t="s">
        <v>1</v>
      </c>
      <c r="F60" s="10"/>
      <c r="G60" s="10"/>
      <c r="H60" s="11"/>
      <c r="I60" s="11"/>
      <c r="J60" s="12"/>
      <c r="K60" s="13"/>
      <c r="L60" s="13"/>
      <c r="M60" s="10"/>
    </row>
    <row r="61" spans="1:13" x14ac:dyDescent="0.25">
      <c r="A61" s="10" t="s">
        <v>158</v>
      </c>
      <c r="B61" s="10" t="s">
        <v>159</v>
      </c>
      <c r="C61" s="10" t="s">
        <v>149</v>
      </c>
      <c r="D61" s="10" t="s">
        <v>156</v>
      </c>
      <c r="E61" s="10" t="s">
        <v>1</v>
      </c>
      <c r="F61" s="10"/>
      <c r="G61" s="10"/>
      <c r="H61" s="11"/>
      <c r="I61" s="11"/>
      <c r="J61" s="12"/>
      <c r="K61" s="13"/>
      <c r="L61" s="13"/>
      <c r="M61" s="10"/>
    </row>
    <row r="62" spans="1:13" x14ac:dyDescent="0.25">
      <c r="A62" s="10" t="s">
        <v>160</v>
      </c>
      <c r="B62" s="10" t="s">
        <v>161</v>
      </c>
      <c r="C62" s="10" t="s">
        <v>149</v>
      </c>
      <c r="D62" s="10" t="s">
        <v>158</v>
      </c>
      <c r="E62" s="10" t="s">
        <v>1</v>
      </c>
      <c r="F62" s="10"/>
      <c r="G62" s="10"/>
      <c r="H62" s="11"/>
      <c r="I62" s="11"/>
      <c r="J62" s="12"/>
      <c r="K62" s="13"/>
      <c r="L62" s="13"/>
      <c r="M62" s="10"/>
    </row>
    <row r="63" spans="1:13" x14ac:dyDescent="0.25">
      <c r="A63" s="10" t="s">
        <v>162</v>
      </c>
      <c r="B63" s="10" t="s">
        <v>163</v>
      </c>
      <c r="C63" s="10" t="s">
        <v>149</v>
      </c>
      <c r="D63" s="10" t="s">
        <v>160</v>
      </c>
      <c r="E63" s="10" t="s">
        <v>1</v>
      </c>
      <c r="F63" s="10"/>
      <c r="G63" s="10"/>
      <c r="H63" s="11"/>
      <c r="I63" s="11"/>
      <c r="J63" s="12"/>
      <c r="K63" s="13"/>
      <c r="L63" s="13"/>
      <c r="M63" s="10"/>
    </row>
    <row r="64" spans="1:13" x14ac:dyDescent="0.25">
      <c r="A64" s="10" t="s">
        <v>164</v>
      </c>
      <c r="B64" s="10" t="s">
        <v>165</v>
      </c>
      <c r="C64" s="10" t="s">
        <v>149</v>
      </c>
      <c r="D64" s="10" t="s">
        <v>162</v>
      </c>
      <c r="E64" s="10" t="s">
        <v>60</v>
      </c>
      <c r="F64" s="10"/>
      <c r="G64" s="10"/>
      <c r="H64" s="11"/>
      <c r="I64" s="11"/>
      <c r="J64" s="12"/>
      <c r="K64" s="13"/>
      <c r="L64" s="13"/>
      <c r="M64" s="10"/>
    </row>
    <row r="65" spans="1:13" x14ac:dyDescent="0.25">
      <c r="A65" s="6" t="s">
        <v>166</v>
      </c>
      <c r="B65" s="6" t="s">
        <v>167</v>
      </c>
      <c r="C65" s="6" t="s">
        <v>147</v>
      </c>
      <c r="D65" s="6" t="s">
        <v>164</v>
      </c>
      <c r="E65" s="6" t="s">
        <v>18</v>
      </c>
      <c r="F65" s="6"/>
      <c r="G65" s="6"/>
      <c r="H65" s="7"/>
      <c r="I65" s="7"/>
      <c r="J65" s="8"/>
      <c r="K65" s="9"/>
      <c r="L65" s="9"/>
      <c r="M65" s="6"/>
    </row>
    <row r="66" spans="1:13" x14ac:dyDescent="0.25">
      <c r="A66" s="10" t="s">
        <v>168</v>
      </c>
      <c r="B66" s="10" t="s">
        <v>155</v>
      </c>
      <c r="C66" s="10" t="s">
        <v>166</v>
      </c>
      <c r="D66" s="10" t="s">
        <v>164</v>
      </c>
      <c r="E66" s="10" t="s">
        <v>1</v>
      </c>
      <c r="F66" s="10"/>
      <c r="G66" s="10"/>
      <c r="H66" s="11"/>
      <c r="I66" s="11"/>
      <c r="J66" s="12"/>
      <c r="K66" s="13"/>
      <c r="L66" s="13"/>
      <c r="M66" s="10"/>
    </row>
    <row r="67" spans="1:13" x14ac:dyDescent="0.25">
      <c r="A67" s="10" t="s">
        <v>169</v>
      </c>
      <c r="B67" s="10" t="s">
        <v>170</v>
      </c>
      <c r="C67" s="10" t="s">
        <v>166</v>
      </c>
      <c r="D67" s="10" t="s">
        <v>168</v>
      </c>
      <c r="E67" s="10" t="s">
        <v>1</v>
      </c>
      <c r="F67" s="10"/>
      <c r="G67" s="10"/>
      <c r="H67" s="11"/>
      <c r="I67" s="11"/>
      <c r="J67" s="12"/>
      <c r="K67" s="13"/>
      <c r="L67" s="13"/>
      <c r="M67" s="10"/>
    </row>
    <row r="68" spans="1:13" x14ac:dyDescent="0.25">
      <c r="A68" s="10" t="s">
        <v>171</v>
      </c>
      <c r="B68" s="10" t="s">
        <v>161</v>
      </c>
      <c r="C68" s="10" t="s">
        <v>166</v>
      </c>
      <c r="D68" s="10" t="s">
        <v>169</v>
      </c>
      <c r="E68" s="10" t="s">
        <v>1</v>
      </c>
      <c r="F68" s="10"/>
      <c r="G68" s="10"/>
      <c r="H68" s="11"/>
      <c r="I68" s="11"/>
      <c r="J68" s="12"/>
      <c r="K68" s="13"/>
      <c r="L68" s="13"/>
      <c r="M68" s="10"/>
    </row>
    <row r="69" spans="1:13" x14ac:dyDescent="0.25">
      <c r="A69" s="10" t="s">
        <v>172</v>
      </c>
      <c r="B69" s="10" t="s">
        <v>173</v>
      </c>
      <c r="C69" s="10" t="s">
        <v>166</v>
      </c>
      <c r="D69" s="10" t="s">
        <v>171</v>
      </c>
      <c r="E69" s="10" t="s">
        <v>1</v>
      </c>
      <c r="F69" s="10"/>
      <c r="G69" s="10"/>
      <c r="H69" s="11"/>
      <c r="I69" s="11"/>
      <c r="J69" s="12"/>
      <c r="K69" s="13"/>
      <c r="L69" s="13"/>
      <c r="M69" s="10"/>
    </row>
    <row r="70" spans="1:13" x14ac:dyDescent="0.25">
      <c r="A70" s="10" t="s">
        <v>174</v>
      </c>
      <c r="B70" s="10" t="s">
        <v>175</v>
      </c>
      <c r="C70" s="10" t="s">
        <v>166</v>
      </c>
      <c r="D70" s="10" t="s">
        <v>172</v>
      </c>
      <c r="E70" s="10" t="s">
        <v>1</v>
      </c>
      <c r="F70" s="10"/>
      <c r="G70" s="10"/>
      <c r="H70" s="11"/>
      <c r="I70" s="11"/>
      <c r="J70" s="12"/>
      <c r="K70" s="13"/>
      <c r="L70" s="13"/>
      <c r="M70" s="10"/>
    </row>
    <row r="71" spans="1:13" x14ac:dyDescent="0.25">
      <c r="A71" s="6" t="s">
        <v>176</v>
      </c>
      <c r="B71" s="6" t="s">
        <v>177</v>
      </c>
      <c r="C71" s="6" t="s">
        <v>147</v>
      </c>
      <c r="D71" s="6" t="s">
        <v>174</v>
      </c>
      <c r="E71" s="6" t="s">
        <v>18</v>
      </c>
      <c r="F71" s="6"/>
      <c r="G71" s="6"/>
      <c r="H71" s="7"/>
      <c r="I71" s="7"/>
      <c r="J71" s="8"/>
      <c r="K71" s="9"/>
      <c r="L71" s="9"/>
      <c r="M71" s="6"/>
    </row>
    <row r="72" spans="1:13" x14ac:dyDescent="0.25">
      <c r="A72" s="10" t="s">
        <v>178</v>
      </c>
      <c r="B72" s="10" t="s">
        <v>179</v>
      </c>
      <c r="C72" s="10" t="s">
        <v>176</v>
      </c>
      <c r="D72" s="10" t="s">
        <v>174</v>
      </c>
      <c r="E72" s="10" t="s">
        <v>1</v>
      </c>
      <c r="F72" s="10"/>
      <c r="G72" s="10"/>
      <c r="H72" s="11"/>
      <c r="I72" s="11"/>
      <c r="J72" s="12"/>
      <c r="K72" s="13"/>
      <c r="L72" s="13"/>
      <c r="M72" s="10"/>
    </row>
    <row r="73" spans="1:13" x14ac:dyDescent="0.25">
      <c r="A73" s="10" t="s">
        <v>180</v>
      </c>
      <c r="B73" s="10" t="s">
        <v>181</v>
      </c>
      <c r="C73" s="10" t="s">
        <v>176</v>
      </c>
      <c r="D73" s="10" t="s">
        <v>178</v>
      </c>
      <c r="E73" s="10" t="s">
        <v>1</v>
      </c>
      <c r="F73" s="10"/>
      <c r="G73" s="10"/>
      <c r="H73" s="11"/>
      <c r="I73" s="11"/>
      <c r="J73" s="12"/>
      <c r="K73" s="13"/>
      <c r="L73" s="13"/>
      <c r="M73" s="10"/>
    </row>
    <row r="74" spans="1:13" x14ac:dyDescent="0.25">
      <c r="A74" s="10" t="s">
        <v>182</v>
      </c>
      <c r="B74" s="10" t="s">
        <v>183</v>
      </c>
      <c r="C74" s="10" t="s">
        <v>176</v>
      </c>
      <c r="D74" s="10" t="s">
        <v>180</v>
      </c>
      <c r="E74" s="10" t="s">
        <v>1</v>
      </c>
      <c r="F74" s="10"/>
      <c r="G74" s="10"/>
      <c r="H74" s="11"/>
      <c r="I74" s="11"/>
      <c r="J74" s="12"/>
      <c r="K74" s="13"/>
      <c r="L74" s="13"/>
      <c r="M74" s="10"/>
    </row>
    <row r="75" spans="1:13" x14ac:dyDescent="0.25">
      <c r="A75" s="10" t="s">
        <v>184</v>
      </c>
      <c r="B75" s="10" t="s">
        <v>185</v>
      </c>
      <c r="C75" s="10" t="s">
        <v>176</v>
      </c>
      <c r="D75" s="10" t="s">
        <v>180</v>
      </c>
      <c r="E75" s="10" t="s">
        <v>1</v>
      </c>
      <c r="F75" s="10"/>
      <c r="G75" s="10"/>
      <c r="H75" s="11"/>
      <c r="I75" s="11"/>
      <c r="J75" s="12"/>
      <c r="K75" s="13"/>
      <c r="L75" s="13"/>
      <c r="M75" s="10"/>
    </row>
    <row r="76" spans="1:13" x14ac:dyDescent="0.25">
      <c r="A76" s="10" t="s">
        <v>186</v>
      </c>
      <c r="B76" s="10" t="s">
        <v>187</v>
      </c>
      <c r="C76" s="10" t="s">
        <v>176</v>
      </c>
      <c r="D76" s="10" t="s">
        <v>188</v>
      </c>
      <c r="E76" s="10" t="s">
        <v>1</v>
      </c>
      <c r="F76" s="10"/>
      <c r="G76" s="10"/>
      <c r="H76" s="11"/>
      <c r="I76" s="11"/>
      <c r="J76" s="12"/>
      <c r="K76" s="13"/>
      <c r="L76" s="13"/>
      <c r="M76" s="10"/>
    </row>
    <row r="77" spans="1:13" x14ac:dyDescent="0.25">
      <c r="A77" s="2" t="s">
        <v>189</v>
      </c>
      <c r="B77" s="2" t="s">
        <v>190</v>
      </c>
      <c r="C77" s="2"/>
      <c r="D77" s="2"/>
      <c r="E77" s="2" t="s">
        <v>15</v>
      </c>
      <c r="F77" s="2"/>
      <c r="G77" s="2"/>
      <c r="H77" s="3"/>
      <c r="I77" s="3"/>
      <c r="J77" s="4"/>
      <c r="K77" s="5"/>
      <c r="L77" s="5"/>
      <c r="M77" s="2"/>
    </row>
    <row r="78" spans="1:13" x14ac:dyDescent="0.25">
      <c r="A78" s="6" t="s">
        <v>191</v>
      </c>
      <c r="B78" s="6" t="s">
        <v>192</v>
      </c>
      <c r="C78" s="6" t="s">
        <v>189</v>
      </c>
      <c r="D78" s="6" t="s">
        <v>186</v>
      </c>
      <c r="E78" s="6" t="s">
        <v>18</v>
      </c>
      <c r="F78" s="6"/>
      <c r="G78" s="6"/>
      <c r="H78" s="7"/>
      <c r="I78" s="7"/>
      <c r="J78" s="8"/>
      <c r="K78" s="9"/>
      <c r="L78" s="9"/>
      <c r="M78" s="6"/>
    </row>
    <row r="79" spans="1:13" x14ac:dyDescent="0.25">
      <c r="A79" s="10" t="s">
        <v>193</v>
      </c>
      <c r="B79" s="10" t="s">
        <v>194</v>
      </c>
      <c r="C79" s="10" t="s">
        <v>191</v>
      </c>
      <c r="D79" s="10" t="s">
        <v>186</v>
      </c>
      <c r="E79" s="10" t="s">
        <v>1</v>
      </c>
      <c r="F79" s="10"/>
      <c r="G79" s="10"/>
      <c r="H79" s="11"/>
      <c r="I79" s="11"/>
      <c r="J79" s="12"/>
      <c r="K79" s="13"/>
      <c r="L79" s="13"/>
      <c r="M79" s="10"/>
    </row>
    <row r="80" spans="1:13" x14ac:dyDescent="0.25">
      <c r="A80" s="10" t="s">
        <v>195</v>
      </c>
      <c r="B80" s="10" t="s">
        <v>196</v>
      </c>
      <c r="C80" s="10" t="s">
        <v>191</v>
      </c>
      <c r="D80" s="10" t="s">
        <v>186</v>
      </c>
      <c r="E80" s="10" t="s">
        <v>1</v>
      </c>
      <c r="F80" s="10"/>
      <c r="G80" s="10"/>
      <c r="H80" s="11"/>
      <c r="I80" s="11"/>
      <c r="J80" s="12"/>
      <c r="K80" s="13"/>
      <c r="L80" s="13"/>
      <c r="M80" s="10"/>
    </row>
    <row r="81" spans="1:13" x14ac:dyDescent="0.25">
      <c r="A81" s="10" t="s">
        <v>197</v>
      </c>
      <c r="B81" s="10" t="s">
        <v>198</v>
      </c>
      <c r="C81" s="10" t="s">
        <v>191</v>
      </c>
      <c r="D81" s="10" t="s">
        <v>193</v>
      </c>
      <c r="E81" s="10" t="s">
        <v>1</v>
      </c>
      <c r="F81" s="10"/>
      <c r="G81" s="10"/>
      <c r="H81" s="11"/>
      <c r="I81" s="11"/>
      <c r="J81" s="12"/>
      <c r="K81" s="13"/>
      <c r="L81" s="13"/>
      <c r="M81" s="10"/>
    </row>
    <row r="82" spans="1:13" x14ac:dyDescent="0.25">
      <c r="A82" s="10" t="s">
        <v>199</v>
      </c>
      <c r="B82" s="10" t="s">
        <v>200</v>
      </c>
      <c r="C82" s="10" t="s">
        <v>191</v>
      </c>
      <c r="D82" s="10" t="s">
        <v>193</v>
      </c>
      <c r="E82" s="10" t="s">
        <v>1</v>
      </c>
      <c r="F82" s="10"/>
      <c r="G82" s="10"/>
      <c r="H82" s="11"/>
      <c r="I82" s="11"/>
      <c r="J82" s="12"/>
      <c r="K82" s="13"/>
      <c r="L82" s="13"/>
      <c r="M82" s="10"/>
    </row>
    <row r="83" spans="1:13" x14ac:dyDescent="0.25">
      <c r="A83" s="10" t="s">
        <v>201</v>
      </c>
      <c r="B83" s="10" t="s">
        <v>202</v>
      </c>
      <c r="C83" s="10" t="s">
        <v>191</v>
      </c>
      <c r="D83" s="10" t="s">
        <v>203</v>
      </c>
      <c r="E83" s="10" t="s">
        <v>1</v>
      </c>
      <c r="F83" s="10"/>
      <c r="G83" s="10"/>
      <c r="H83" s="11"/>
      <c r="I83" s="11"/>
      <c r="J83" s="12"/>
      <c r="K83" s="13"/>
      <c r="L83" s="13"/>
      <c r="M83" s="10"/>
    </row>
    <row r="84" spans="1:13" x14ac:dyDescent="0.25">
      <c r="A84" s="10" t="s">
        <v>204</v>
      </c>
      <c r="B84" s="10" t="s">
        <v>205</v>
      </c>
      <c r="C84" s="10" t="s">
        <v>191</v>
      </c>
      <c r="D84" s="10" t="s">
        <v>201</v>
      </c>
      <c r="E84" s="10" t="s">
        <v>1</v>
      </c>
      <c r="F84" s="10"/>
      <c r="G84" s="10"/>
      <c r="H84" s="11"/>
      <c r="I84" s="11"/>
      <c r="J84" s="12"/>
      <c r="K84" s="13"/>
      <c r="L84" s="13"/>
      <c r="M84" s="10"/>
    </row>
    <row r="85" spans="1:13" x14ac:dyDescent="0.25">
      <c r="A85" s="6" t="s">
        <v>206</v>
      </c>
      <c r="B85" s="6" t="s">
        <v>207</v>
      </c>
      <c r="C85" s="6" t="s">
        <v>189</v>
      </c>
      <c r="D85" s="6" t="s">
        <v>186</v>
      </c>
      <c r="E85" s="6" t="s">
        <v>18</v>
      </c>
      <c r="F85" s="6"/>
      <c r="G85" s="6"/>
      <c r="H85" s="7"/>
      <c r="I85" s="7"/>
      <c r="J85" s="8"/>
      <c r="K85" s="9"/>
      <c r="L85" s="9"/>
      <c r="M85" s="6"/>
    </row>
    <row r="86" spans="1:13" x14ac:dyDescent="0.25">
      <c r="A86" s="10" t="s">
        <v>208</v>
      </c>
      <c r="B86" s="10" t="s">
        <v>209</v>
      </c>
      <c r="C86" s="10" t="s">
        <v>206</v>
      </c>
      <c r="D86" s="10" t="s">
        <v>186</v>
      </c>
      <c r="E86" s="10" t="s">
        <v>1</v>
      </c>
      <c r="F86" s="10"/>
      <c r="G86" s="10"/>
      <c r="H86" s="11"/>
      <c r="I86" s="11"/>
      <c r="J86" s="12"/>
      <c r="K86" s="13"/>
      <c r="L86" s="13"/>
      <c r="M86" s="10"/>
    </row>
    <row r="87" spans="1:13" x14ac:dyDescent="0.25">
      <c r="A87" s="10" t="s">
        <v>210</v>
      </c>
      <c r="B87" s="10" t="s">
        <v>211</v>
      </c>
      <c r="C87" s="10" t="s">
        <v>206</v>
      </c>
      <c r="D87" s="10" t="s">
        <v>193</v>
      </c>
      <c r="E87" s="10" t="s">
        <v>1</v>
      </c>
      <c r="F87" s="10"/>
      <c r="G87" s="10"/>
      <c r="H87" s="11"/>
      <c r="I87" s="11"/>
      <c r="J87" s="12"/>
      <c r="K87" s="13"/>
      <c r="L87" s="13"/>
      <c r="M87" s="10"/>
    </row>
    <row r="88" spans="1:13" x14ac:dyDescent="0.25">
      <c r="A88" s="10" t="s">
        <v>212</v>
      </c>
      <c r="B88" s="10" t="s">
        <v>213</v>
      </c>
      <c r="C88" s="10" t="s">
        <v>206</v>
      </c>
      <c r="D88" s="10" t="s">
        <v>193</v>
      </c>
      <c r="E88" s="10" t="s">
        <v>1</v>
      </c>
      <c r="F88" s="10"/>
      <c r="G88" s="10"/>
      <c r="H88" s="11"/>
      <c r="I88" s="11"/>
      <c r="J88" s="12"/>
      <c r="K88" s="13"/>
      <c r="L88" s="13"/>
      <c r="M88" s="10"/>
    </row>
    <row r="89" spans="1:13" x14ac:dyDescent="0.25">
      <c r="A89" s="10" t="s">
        <v>214</v>
      </c>
      <c r="B89" s="10" t="s">
        <v>215</v>
      </c>
      <c r="C89" s="10" t="s">
        <v>206</v>
      </c>
      <c r="D89" s="10" t="s">
        <v>193</v>
      </c>
      <c r="E89" s="10" t="s">
        <v>1</v>
      </c>
      <c r="F89" s="10"/>
      <c r="G89" s="10"/>
      <c r="H89" s="11"/>
      <c r="I89" s="11"/>
      <c r="J89" s="12"/>
      <c r="K89" s="13"/>
      <c r="L89" s="13"/>
      <c r="M89" s="10"/>
    </row>
    <row r="90" spans="1:13" x14ac:dyDescent="0.25">
      <c r="A90" s="6" t="s">
        <v>216</v>
      </c>
      <c r="B90" s="6" t="s">
        <v>217</v>
      </c>
      <c r="C90" s="6" t="s">
        <v>189</v>
      </c>
      <c r="D90" s="6" t="s">
        <v>201</v>
      </c>
      <c r="E90" s="6" t="s">
        <v>18</v>
      </c>
      <c r="F90" s="6"/>
      <c r="G90" s="6"/>
      <c r="H90" s="7"/>
      <c r="I90" s="7"/>
      <c r="J90" s="8"/>
      <c r="K90" s="9"/>
      <c r="L90" s="9"/>
      <c r="M90" s="6"/>
    </row>
    <row r="91" spans="1:13" x14ac:dyDescent="0.25">
      <c r="A91" s="10" t="s">
        <v>218</v>
      </c>
      <c r="B91" s="10" t="s">
        <v>219</v>
      </c>
      <c r="C91" s="10" t="s">
        <v>216</v>
      </c>
      <c r="D91" s="10" t="s">
        <v>201</v>
      </c>
      <c r="E91" s="10" t="s">
        <v>1</v>
      </c>
      <c r="F91" s="10"/>
      <c r="G91" s="10"/>
      <c r="H91" s="11"/>
      <c r="I91" s="11"/>
      <c r="J91" s="12"/>
      <c r="K91" s="13"/>
      <c r="L91" s="13"/>
      <c r="M91" s="10"/>
    </row>
    <row r="92" spans="1:13" x14ac:dyDescent="0.25">
      <c r="A92" s="10" t="s">
        <v>220</v>
      </c>
      <c r="B92" s="10" t="s">
        <v>221</v>
      </c>
      <c r="C92" s="10" t="s">
        <v>216</v>
      </c>
      <c r="D92" s="10" t="s">
        <v>218</v>
      </c>
      <c r="E92" s="10" t="s">
        <v>1</v>
      </c>
      <c r="F92" s="10"/>
      <c r="G92" s="10"/>
      <c r="H92" s="11"/>
      <c r="I92" s="11"/>
      <c r="J92" s="12"/>
      <c r="K92" s="13"/>
      <c r="L92" s="13"/>
      <c r="M92" s="10"/>
    </row>
    <row r="93" spans="1:13" x14ac:dyDescent="0.25">
      <c r="A93" s="10" t="s">
        <v>222</v>
      </c>
      <c r="B93" s="10" t="s">
        <v>223</v>
      </c>
      <c r="C93" s="10" t="s">
        <v>216</v>
      </c>
      <c r="D93" s="10" t="s">
        <v>220</v>
      </c>
      <c r="E93" s="10" t="s">
        <v>1</v>
      </c>
      <c r="F93" s="10"/>
      <c r="G93" s="10"/>
      <c r="H93" s="11"/>
      <c r="I93" s="11"/>
      <c r="J93" s="12"/>
      <c r="K93" s="13"/>
      <c r="L93" s="13"/>
      <c r="M93" s="10"/>
    </row>
    <row r="94" spans="1:13" x14ac:dyDescent="0.25">
      <c r="A94" s="10" t="s">
        <v>224</v>
      </c>
      <c r="B94" s="10" t="s">
        <v>225</v>
      </c>
      <c r="C94" s="10" t="s">
        <v>216</v>
      </c>
      <c r="D94" s="10" t="s">
        <v>222</v>
      </c>
      <c r="E94" s="10" t="s">
        <v>1</v>
      </c>
      <c r="F94" s="10"/>
      <c r="G94" s="10"/>
      <c r="H94" s="11"/>
      <c r="I94" s="11"/>
      <c r="J94" s="12"/>
      <c r="K94" s="13"/>
      <c r="L94" s="13"/>
      <c r="M94" s="10"/>
    </row>
    <row r="95" spans="1:13" x14ac:dyDescent="0.25">
      <c r="A95" s="10" t="s">
        <v>226</v>
      </c>
      <c r="B95" s="10" t="s">
        <v>227</v>
      </c>
      <c r="C95" s="10" t="s">
        <v>216</v>
      </c>
      <c r="D95" s="10" t="s">
        <v>224</v>
      </c>
      <c r="E95" s="10" t="s">
        <v>1</v>
      </c>
      <c r="F95" s="10"/>
      <c r="G95" s="10"/>
      <c r="H95" s="11"/>
      <c r="I95" s="11"/>
      <c r="J95" s="12"/>
      <c r="K95" s="13"/>
      <c r="L95" s="13"/>
      <c r="M95" s="10"/>
    </row>
    <row r="96" spans="1:13" x14ac:dyDescent="0.25">
      <c r="A96" s="2" t="s">
        <v>228</v>
      </c>
      <c r="B96" s="2" t="s">
        <v>229</v>
      </c>
      <c r="C96" s="2"/>
      <c r="D96" s="2"/>
      <c r="E96" s="2" t="s">
        <v>15</v>
      </c>
      <c r="F96" s="2"/>
      <c r="G96" s="2"/>
      <c r="H96" s="3"/>
      <c r="I96" s="3"/>
      <c r="J96" s="4"/>
      <c r="K96" s="5"/>
      <c r="L96" s="5"/>
      <c r="M96" s="2"/>
    </row>
    <row r="97" spans="1:13" x14ac:dyDescent="0.25">
      <c r="A97" s="6" t="s">
        <v>230</v>
      </c>
      <c r="B97" s="6" t="s">
        <v>231</v>
      </c>
      <c r="C97" s="6" t="s">
        <v>228</v>
      </c>
      <c r="D97" s="6" t="s">
        <v>186</v>
      </c>
      <c r="E97" s="6" t="s">
        <v>18</v>
      </c>
      <c r="F97" s="6"/>
      <c r="G97" s="6"/>
      <c r="H97" s="7"/>
      <c r="I97" s="7"/>
      <c r="J97" s="8"/>
      <c r="K97" s="9"/>
      <c r="L97" s="9"/>
      <c r="M97" s="6"/>
    </row>
    <row r="98" spans="1:13" x14ac:dyDescent="0.25">
      <c r="A98" s="10" t="s">
        <v>232</v>
      </c>
      <c r="B98" s="10" t="s">
        <v>233</v>
      </c>
      <c r="C98" s="10" t="s">
        <v>230</v>
      </c>
      <c r="D98" s="10" t="s">
        <v>186</v>
      </c>
      <c r="E98" s="10" t="s">
        <v>1</v>
      </c>
      <c r="F98" s="10"/>
      <c r="G98" s="10"/>
      <c r="H98" s="11"/>
      <c r="I98" s="11"/>
      <c r="J98" s="12"/>
      <c r="K98" s="13"/>
      <c r="L98" s="13"/>
      <c r="M98" s="10"/>
    </row>
    <row r="99" spans="1:13" x14ac:dyDescent="0.25">
      <c r="A99" s="10" t="s">
        <v>234</v>
      </c>
      <c r="B99" s="10" t="s">
        <v>194</v>
      </c>
      <c r="C99" s="10" t="s">
        <v>230</v>
      </c>
      <c r="D99" s="10" t="s">
        <v>186</v>
      </c>
      <c r="E99" s="10" t="s">
        <v>1</v>
      </c>
      <c r="F99" s="10"/>
      <c r="G99" s="10"/>
      <c r="H99" s="11"/>
      <c r="I99" s="11"/>
      <c r="J99" s="12"/>
      <c r="K99" s="13"/>
      <c r="L99" s="13"/>
      <c r="M99" s="10"/>
    </row>
    <row r="100" spans="1:13" x14ac:dyDescent="0.25">
      <c r="A100" s="10" t="s">
        <v>235</v>
      </c>
      <c r="B100" s="10" t="s">
        <v>236</v>
      </c>
      <c r="C100" s="10" t="s">
        <v>230</v>
      </c>
      <c r="D100" s="10" t="s">
        <v>186</v>
      </c>
      <c r="E100" s="10" t="s">
        <v>1</v>
      </c>
      <c r="F100" s="10"/>
      <c r="G100" s="10"/>
      <c r="H100" s="11"/>
      <c r="I100" s="11"/>
      <c r="J100" s="12"/>
      <c r="K100" s="13"/>
      <c r="L100" s="13"/>
      <c r="M100" s="10"/>
    </row>
    <row r="101" spans="1:13" x14ac:dyDescent="0.25">
      <c r="A101" s="10" t="s">
        <v>237</v>
      </c>
      <c r="B101" s="10" t="s">
        <v>238</v>
      </c>
      <c r="C101" s="10" t="s">
        <v>230</v>
      </c>
      <c r="D101" s="10" t="s">
        <v>239</v>
      </c>
      <c r="E101" s="10" t="s">
        <v>1</v>
      </c>
      <c r="F101" s="10"/>
      <c r="G101" s="10"/>
      <c r="H101" s="11"/>
      <c r="I101" s="11"/>
      <c r="J101" s="12"/>
      <c r="K101" s="13"/>
      <c r="L101" s="13"/>
      <c r="M101" s="10"/>
    </row>
    <row r="102" spans="1:13" x14ac:dyDescent="0.25">
      <c r="A102" s="10" t="s">
        <v>240</v>
      </c>
      <c r="B102" s="10" t="s">
        <v>202</v>
      </c>
      <c r="C102" s="10" t="s">
        <v>230</v>
      </c>
      <c r="D102" s="10" t="s">
        <v>237</v>
      </c>
      <c r="E102" s="10" t="s">
        <v>1</v>
      </c>
      <c r="F102" s="10"/>
      <c r="G102" s="10"/>
      <c r="H102" s="11"/>
      <c r="I102" s="11"/>
      <c r="J102" s="12"/>
      <c r="K102" s="13"/>
      <c r="L102" s="13"/>
      <c r="M102" s="10"/>
    </row>
    <row r="103" spans="1:13" x14ac:dyDescent="0.25">
      <c r="A103" s="6" t="s">
        <v>241</v>
      </c>
      <c r="B103" s="6" t="s">
        <v>242</v>
      </c>
      <c r="C103" s="6" t="s">
        <v>228</v>
      </c>
      <c r="D103" s="6" t="s">
        <v>186</v>
      </c>
      <c r="E103" s="6" t="s">
        <v>18</v>
      </c>
      <c r="F103" s="6"/>
      <c r="G103" s="6"/>
      <c r="H103" s="7"/>
      <c r="I103" s="7"/>
      <c r="J103" s="8"/>
      <c r="K103" s="9"/>
      <c r="L103" s="9"/>
      <c r="M103" s="6"/>
    </row>
    <row r="104" spans="1:13" x14ac:dyDescent="0.25">
      <c r="A104" s="10" t="s">
        <v>243</v>
      </c>
      <c r="B104" s="10" t="s">
        <v>244</v>
      </c>
      <c r="C104" s="10" t="s">
        <v>241</v>
      </c>
      <c r="D104" s="10" t="s">
        <v>186</v>
      </c>
      <c r="E104" s="10" t="s">
        <v>1</v>
      </c>
      <c r="F104" s="10"/>
      <c r="G104" s="10"/>
      <c r="H104" s="11"/>
      <c r="I104" s="11"/>
      <c r="J104" s="12"/>
      <c r="K104" s="13"/>
      <c r="L104" s="13"/>
      <c r="M104" s="10"/>
    </row>
    <row r="105" spans="1:13" x14ac:dyDescent="0.25">
      <c r="A105" s="10" t="s">
        <v>245</v>
      </c>
      <c r="B105" s="10" t="s">
        <v>246</v>
      </c>
      <c r="C105" s="10" t="s">
        <v>241</v>
      </c>
      <c r="D105" s="10" t="s">
        <v>186</v>
      </c>
      <c r="E105" s="10" t="s">
        <v>1</v>
      </c>
      <c r="F105" s="10"/>
      <c r="G105" s="10"/>
      <c r="H105" s="11"/>
      <c r="I105" s="11"/>
      <c r="J105" s="12"/>
      <c r="K105" s="13"/>
      <c r="L105" s="13"/>
      <c r="M105" s="10"/>
    </row>
    <row r="106" spans="1:13" x14ac:dyDescent="0.25">
      <c r="A106" s="10" t="s">
        <v>247</v>
      </c>
      <c r="B106" s="10" t="s">
        <v>248</v>
      </c>
      <c r="C106" s="10" t="s">
        <v>241</v>
      </c>
      <c r="D106" s="10" t="s">
        <v>249</v>
      </c>
      <c r="E106" s="10" t="s">
        <v>1</v>
      </c>
      <c r="F106" s="10"/>
      <c r="G106" s="10"/>
      <c r="H106" s="11"/>
      <c r="I106" s="11"/>
      <c r="J106" s="12"/>
      <c r="K106" s="13"/>
      <c r="L106" s="13"/>
      <c r="M106" s="10"/>
    </row>
    <row r="107" spans="1:13" x14ac:dyDescent="0.25">
      <c r="A107" s="10" t="s">
        <v>250</v>
      </c>
      <c r="B107" s="10" t="s">
        <v>251</v>
      </c>
      <c r="C107" s="10" t="s">
        <v>241</v>
      </c>
      <c r="D107" s="10" t="s">
        <v>249</v>
      </c>
      <c r="E107" s="10" t="s">
        <v>1</v>
      </c>
      <c r="F107" s="10"/>
      <c r="G107" s="10"/>
      <c r="H107" s="11"/>
      <c r="I107" s="11"/>
      <c r="J107" s="12"/>
      <c r="K107" s="13"/>
      <c r="L107" s="13"/>
      <c r="M107" s="10"/>
    </row>
    <row r="108" spans="1:13" x14ac:dyDescent="0.25">
      <c r="A108" s="10" t="s">
        <v>252</v>
      </c>
      <c r="B108" s="10" t="s">
        <v>253</v>
      </c>
      <c r="C108" s="10" t="s">
        <v>241</v>
      </c>
      <c r="D108" s="10" t="s">
        <v>249</v>
      </c>
      <c r="E108" s="10" t="s">
        <v>1</v>
      </c>
      <c r="F108" s="10"/>
      <c r="G108" s="10"/>
      <c r="H108" s="11"/>
      <c r="I108" s="11"/>
      <c r="J108" s="12"/>
      <c r="K108" s="13"/>
      <c r="L108" s="13"/>
      <c r="M108" s="10"/>
    </row>
    <row r="109" spans="1:13" x14ac:dyDescent="0.25">
      <c r="A109" s="6" t="s">
        <v>254</v>
      </c>
      <c r="B109" s="6" t="s">
        <v>255</v>
      </c>
      <c r="C109" s="6" t="s">
        <v>228</v>
      </c>
      <c r="D109" s="6" t="s">
        <v>256</v>
      </c>
      <c r="E109" s="6" t="s">
        <v>18</v>
      </c>
      <c r="F109" s="6"/>
      <c r="G109" s="6"/>
      <c r="H109" s="7"/>
      <c r="I109" s="7"/>
      <c r="J109" s="8"/>
      <c r="K109" s="9"/>
      <c r="L109" s="9"/>
      <c r="M109" s="6"/>
    </row>
    <row r="110" spans="1:13" x14ac:dyDescent="0.25">
      <c r="A110" s="10" t="s">
        <v>257</v>
      </c>
      <c r="B110" s="10" t="s">
        <v>258</v>
      </c>
      <c r="C110" s="10" t="s">
        <v>254</v>
      </c>
      <c r="D110" s="10" t="s">
        <v>250</v>
      </c>
      <c r="E110" s="10" t="s">
        <v>1</v>
      </c>
      <c r="F110" s="10"/>
      <c r="G110" s="10"/>
      <c r="H110" s="11"/>
      <c r="I110" s="11"/>
      <c r="J110" s="12"/>
      <c r="K110" s="13"/>
      <c r="L110" s="13"/>
      <c r="M110" s="10"/>
    </row>
    <row r="111" spans="1:13" x14ac:dyDescent="0.25">
      <c r="A111" s="10" t="s">
        <v>259</v>
      </c>
      <c r="B111" s="10" t="s">
        <v>260</v>
      </c>
      <c r="C111" s="10" t="s">
        <v>254</v>
      </c>
      <c r="D111" s="10" t="s">
        <v>250</v>
      </c>
      <c r="E111" s="10" t="s">
        <v>1</v>
      </c>
      <c r="F111" s="10"/>
      <c r="G111" s="10"/>
      <c r="H111" s="11"/>
      <c r="I111" s="11"/>
      <c r="J111" s="12"/>
      <c r="K111" s="13"/>
      <c r="L111" s="13"/>
      <c r="M111" s="10"/>
    </row>
    <row r="112" spans="1:13" x14ac:dyDescent="0.25">
      <c r="A112" s="10" t="s">
        <v>261</v>
      </c>
      <c r="B112" s="10" t="s">
        <v>262</v>
      </c>
      <c r="C112" s="10" t="s">
        <v>254</v>
      </c>
      <c r="D112" s="10" t="s">
        <v>247</v>
      </c>
      <c r="E112" s="10" t="s">
        <v>1</v>
      </c>
      <c r="F112" s="10"/>
      <c r="G112" s="10"/>
      <c r="H112" s="11"/>
      <c r="I112" s="11"/>
      <c r="J112" s="12"/>
      <c r="K112" s="13"/>
      <c r="L112" s="13"/>
      <c r="M112" s="10"/>
    </row>
    <row r="113" spans="1:13" x14ac:dyDescent="0.25">
      <c r="A113" s="10" t="s">
        <v>263</v>
      </c>
      <c r="B113" s="10" t="s">
        <v>264</v>
      </c>
      <c r="C113" s="10" t="s">
        <v>254</v>
      </c>
      <c r="D113" s="10" t="s">
        <v>247</v>
      </c>
      <c r="E113" s="10" t="s">
        <v>1</v>
      </c>
      <c r="F113" s="10"/>
      <c r="G113" s="10"/>
      <c r="H113" s="11"/>
      <c r="I113" s="11"/>
      <c r="J113" s="12"/>
      <c r="K113" s="13"/>
      <c r="L113" s="13"/>
      <c r="M113" s="10"/>
    </row>
    <row r="114" spans="1:13" x14ac:dyDescent="0.25">
      <c r="A114" s="2" t="s">
        <v>265</v>
      </c>
      <c r="B114" s="2" t="s">
        <v>266</v>
      </c>
      <c r="C114" s="2"/>
      <c r="D114" s="2"/>
      <c r="E114" s="2" t="s">
        <v>15</v>
      </c>
      <c r="F114" s="2"/>
      <c r="G114" s="2"/>
      <c r="H114" s="3"/>
      <c r="I114" s="3"/>
      <c r="J114" s="4"/>
      <c r="K114" s="5"/>
      <c r="L114" s="5"/>
      <c r="M114" s="2"/>
    </row>
    <row r="115" spans="1:13" x14ac:dyDescent="0.25">
      <c r="A115" s="6" t="s">
        <v>267</v>
      </c>
      <c r="B115" s="6" t="s">
        <v>268</v>
      </c>
      <c r="C115" s="6" t="s">
        <v>265</v>
      </c>
      <c r="D115" s="6" t="s">
        <v>107</v>
      </c>
      <c r="E115" s="6" t="s">
        <v>18</v>
      </c>
      <c r="F115" s="6"/>
      <c r="G115" s="6"/>
      <c r="H115" s="7"/>
      <c r="I115" s="7"/>
      <c r="J115" s="8"/>
      <c r="K115" s="9"/>
      <c r="L115" s="9"/>
      <c r="M115" s="6"/>
    </row>
    <row r="116" spans="1:13" x14ac:dyDescent="0.25">
      <c r="A116" s="10" t="s">
        <v>269</v>
      </c>
      <c r="B116" s="10" t="s">
        <v>270</v>
      </c>
      <c r="C116" s="10" t="s">
        <v>267</v>
      </c>
      <c r="D116" s="10" t="s">
        <v>107</v>
      </c>
      <c r="E116" s="10" t="s">
        <v>1</v>
      </c>
      <c r="F116" s="10"/>
      <c r="G116" s="10"/>
      <c r="H116" s="11"/>
      <c r="I116" s="11"/>
      <c r="J116" s="12"/>
      <c r="K116" s="13"/>
      <c r="L116" s="13"/>
      <c r="M116" s="10"/>
    </row>
    <row r="117" spans="1:13" x14ac:dyDescent="0.25">
      <c r="A117" s="10" t="s">
        <v>271</v>
      </c>
      <c r="B117" s="10" t="s">
        <v>104</v>
      </c>
      <c r="C117" s="10" t="s">
        <v>267</v>
      </c>
      <c r="D117" s="10" t="s">
        <v>269</v>
      </c>
      <c r="E117" s="10" t="s">
        <v>1</v>
      </c>
      <c r="F117" s="10"/>
      <c r="G117" s="10"/>
      <c r="H117" s="11"/>
      <c r="I117" s="11"/>
      <c r="J117" s="12"/>
      <c r="K117" s="13"/>
      <c r="L117" s="13"/>
      <c r="M117" s="10"/>
    </row>
    <row r="118" spans="1:13" x14ac:dyDescent="0.25">
      <c r="A118" s="10" t="s">
        <v>272</v>
      </c>
      <c r="B118" s="10" t="s">
        <v>273</v>
      </c>
      <c r="C118" s="10" t="s">
        <v>267</v>
      </c>
      <c r="D118" s="10" t="s">
        <v>271</v>
      </c>
      <c r="E118" s="10" t="s">
        <v>1</v>
      </c>
      <c r="F118" s="10"/>
      <c r="G118" s="10"/>
      <c r="H118" s="11"/>
      <c r="I118" s="11"/>
      <c r="J118" s="12"/>
      <c r="K118" s="13"/>
      <c r="L118" s="13"/>
      <c r="M118" s="10"/>
    </row>
    <row r="119" spans="1:13" x14ac:dyDescent="0.25">
      <c r="A119" s="10" t="s">
        <v>274</v>
      </c>
      <c r="B119" s="10" t="s">
        <v>275</v>
      </c>
      <c r="C119" s="10" t="s">
        <v>267</v>
      </c>
      <c r="D119" s="10" t="s">
        <v>272</v>
      </c>
      <c r="E119" s="10" t="s">
        <v>1</v>
      </c>
      <c r="F119" s="10"/>
      <c r="G119" s="10"/>
      <c r="H119" s="11"/>
      <c r="I119" s="11"/>
      <c r="J119" s="12"/>
      <c r="K119" s="13"/>
      <c r="L119" s="13"/>
      <c r="M119" s="10"/>
    </row>
    <row r="120" spans="1:13" x14ac:dyDescent="0.25">
      <c r="A120" s="10" t="s">
        <v>276</v>
      </c>
      <c r="B120" s="10" t="s">
        <v>277</v>
      </c>
      <c r="C120" s="10" t="s">
        <v>267</v>
      </c>
      <c r="D120" s="10" t="s">
        <v>274</v>
      </c>
      <c r="E120" s="10" t="s">
        <v>1</v>
      </c>
      <c r="F120" s="10"/>
      <c r="G120" s="10"/>
      <c r="H120" s="11"/>
      <c r="I120" s="11"/>
      <c r="J120" s="12"/>
      <c r="K120" s="13"/>
      <c r="L120" s="13"/>
      <c r="M120" s="10"/>
    </row>
    <row r="121" spans="1:13" x14ac:dyDescent="0.25">
      <c r="A121" s="6" t="s">
        <v>278</v>
      </c>
      <c r="B121" s="6" t="s">
        <v>279</v>
      </c>
      <c r="C121" s="6" t="s">
        <v>265</v>
      </c>
      <c r="D121" s="6" t="s">
        <v>276</v>
      </c>
      <c r="E121" s="6" t="s">
        <v>18</v>
      </c>
      <c r="F121" s="6"/>
      <c r="G121" s="6"/>
      <c r="H121" s="7"/>
      <c r="I121" s="7"/>
      <c r="J121" s="8"/>
      <c r="K121" s="9"/>
      <c r="L121" s="9"/>
      <c r="M121" s="6"/>
    </row>
    <row r="122" spans="1:13" x14ac:dyDescent="0.25">
      <c r="A122" s="10" t="s">
        <v>280</v>
      </c>
      <c r="B122" s="10" t="s">
        <v>281</v>
      </c>
      <c r="C122" s="10" t="s">
        <v>278</v>
      </c>
      <c r="D122" s="10" t="s">
        <v>276</v>
      </c>
      <c r="E122" s="10" t="s">
        <v>1</v>
      </c>
      <c r="F122" s="10"/>
      <c r="G122" s="10"/>
      <c r="H122" s="11"/>
      <c r="I122" s="11"/>
      <c r="J122" s="12"/>
      <c r="K122" s="13"/>
      <c r="L122" s="13"/>
      <c r="M122" s="10"/>
    </row>
    <row r="123" spans="1:13" x14ac:dyDescent="0.25">
      <c r="A123" s="10" t="s">
        <v>282</v>
      </c>
      <c r="B123" s="10" t="s">
        <v>283</v>
      </c>
      <c r="C123" s="10" t="s">
        <v>278</v>
      </c>
      <c r="D123" s="10" t="s">
        <v>280</v>
      </c>
      <c r="E123" s="10" t="s">
        <v>1</v>
      </c>
      <c r="F123" s="10"/>
      <c r="G123" s="10"/>
      <c r="H123" s="11"/>
      <c r="I123" s="11"/>
      <c r="J123" s="12"/>
      <c r="K123" s="13"/>
      <c r="L123" s="13"/>
      <c r="M123" s="10"/>
    </row>
    <row r="124" spans="1:13" x14ac:dyDescent="0.25">
      <c r="A124" s="10" t="s">
        <v>284</v>
      </c>
      <c r="B124" s="10" t="s">
        <v>285</v>
      </c>
      <c r="C124" s="10" t="s">
        <v>278</v>
      </c>
      <c r="D124" s="10" t="s">
        <v>280</v>
      </c>
      <c r="E124" s="10" t="s">
        <v>1</v>
      </c>
      <c r="F124" s="10"/>
      <c r="G124" s="10"/>
      <c r="H124" s="11"/>
      <c r="I124" s="11"/>
      <c r="J124" s="12"/>
      <c r="K124" s="13"/>
      <c r="L124" s="13"/>
      <c r="M124" s="10"/>
    </row>
    <row r="125" spans="1:13" x14ac:dyDescent="0.25">
      <c r="A125" s="10" t="s">
        <v>286</v>
      </c>
      <c r="B125" s="10" t="s">
        <v>287</v>
      </c>
      <c r="C125" s="10" t="s">
        <v>278</v>
      </c>
      <c r="D125" s="10" t="s">
        <v>280</v>
      </c>
      <c r="E125" s="10" t="s">
        <v>1</v>
      </c>
      <c r="F125" s="10"/>
      <c r="G125" s="10"/>
      <c r="H125" s="11"/>
      <c r="I125" s="11"/>
      <c r="J125" s="12"/>
      <c r="K125" s="13"/>
      <c r="L125" s="13"/>
      <c r="M125" s="10"/>
    </row>
    <row r="126" spans="1:13" x14ac:dyDescent="0.25">
      <c r="A126" s="10" t="s">
        <v>288</v>
      </c>
      <c r="B126" s="10" t="s">
        <v>289</v>
      </c>
      <c r="C126" s="10" t="s">
        <v>278</v>
      </c>
      <c r="D126" s="10" t="s">
        <v>286</v>
      </c>
      <c r="E126" s="10" t="s">
        <v>1</v>
      </c>
      <c r="F126" s="10"/>
      <c r="G126" s="10"/>
      <c r="H126" s="11"/>
      <c r="I126" s="11"/>
      <c r="J126" s="12"/>
      <c r="K126" s="13"/>
      <c r="L126" s="13"/>
      <c r="M126" s="10"/>
    </row>
    <row r="127" spans="1:13" x14ac:dyDescent="0.25">
      <c r="A127" s="10" t="s">
        <v>290</v>
      </c>
      <c r="B127" s="10" t="s">
        <v>291</v>
      </c>
      <c r="C127" s="10" t="s">
        <v>278</v>
      </c>
      <c r="D127" s="10" t="s">
        <v>292</v>
      </c>
      <c r="E127" s="10" t="s">
        <v>1</v>
      </c>
      <c r="F127" s="10"/>
      <c r="G127" s="10"/>
      <c r="H127" s="11"/>
      <c r="I127" s="11"/>
      <c r="J127" s="12"/>
      <c r="K127" s="13"/>
      <c r="L127" s="13"/>
      <c r="M127" s="10"/>
    </row>
    <row r="128" spans="1:13" x14ac:dyDescent="0.25">
      <c r="A128" s="6" t="s">
        <v>293</v>
      </c>
      <c r="B128" s="6" t="s">
        <v>137</v>
      </c>
      <c r="C128" s="6" t="s">
        <v>265</v>
      </c>
      <c r="D128" s="6" t="s">
        <v>290</v>
      </c>
      <c r="E128" s="6" t="s">
        <v>18</v>
      </c>
      <c r="F128" s="6"/>
      <c r="G128" s="6"/>
      <c r="H128" s="7"/>
      <c r="I128" s="7"/>
      <c r="J128" s="8"/>
      <c r="K128" s="9"/>
      <c r="L128" s="9"/>
      <c r="M128" s="6"/>
    </row>
    <row r="129" spans="1:13" x14ac:dyDescent="0.25">
      <c r="A129" s="10" t="s">
        <v>294</v>
      </c>
      <c r="B129" s="10" t="s">
        <v>295</v>
      </c>
      <c r="C129" s="10" t="s">
        <v>293</v>
      </c>
      <c r="D129" s="10" t="s">
        <v>290</v>
      </c>
      <c r="E129" s="10" t="s">
        <v>1</v>
      </c>
      <c r="F129" s="10"/>
      <c r="G129" s="10"/>
      <c r="H129" s="11"/>
      <c r="I129" s="11"/>
      <c r="J129" s="12"/>
      <c r="K129" s="13"/>
      <c r="L129" s="13"/>
      <c r="M129" s="10"/>
    </row>
    <row r="130" spans="1:13" x14ac:dyDescent="0.25">
      <c r="A130" s="10" t="s">
        <v>296</v>
      </c>
      <c r="B130" s="10" t="s">
        <v>103</v>
      </c>
      <c r="C130" s="10" t="s">
        <v>293</v>
      </c>
      <c r="D130" s="10" t="s">
        <v>294</v>
      </c>
      <c r="E130" s="10" t="s">
        <v>1</v>
      </c>
      <c r="F130" s="10"/>
      <c r="G130" s="10"/>
      <c r="H130" s="11"/>
      <c r="I130" s="11"/>
      <c r="J130" s="12"/>
      <c r="K130" s="13"/>
      <c r="L130" s="13"/>
      <c r="M130" s="10"/>
    </row>
    <row r="131" spans="1:13" x14ac:dyDescent="0.25">
      <c r="A131" s="10" t="s">
        <v>297</v>
      </c>
      <c r="B131" s="10" t="s">
        <v>298</v>
      </c>
      <c r="C131" s="10" t="s">
        <v>293</v>
      </c>
      <c r="D131" s="10" t="s">
        <v>296</v>
      </c>
      <c r="E131" s="10" t="s">
        <v>1</v>
      </c>
      <c r="F131" s="10"/>
      <c r="G131" s="10"/>
      <c r="H131" s="11"/>
      <c r="I131" s="11"/>
      <c r="J131" s="12"/>
      <c r="K131" s="13"/>
      <c r="L131" s="13"/>
      <c r="M131" s="10"/>
    </row>
    <row r="132" spans="1:13" x14ac:dyDescent="0.25">
      <c r="A132" s="10" t="s">
        <v>299</v>
      </c>
      <c r="B132" s="10" t="s">
        <v>281</v>
      </c>
      <c r="C132" s="10" t="s">
        <v>293</v>
      </c>
      <c r="D132" s="10" t="s">
        <v>297</v>
      </c>
      <c r="E132" s="10" t="s">
        <v>1</v>
      </c>
      <c r="F132" s="10"/>
      <c r="G132" s="10"/>
      <c r="H132" s="11"/>
      <c r="I132" s="11"/>
      <c r="J132" s="12"/>
      <c r="K132" s="13"/>
      <c r="L132" s="13"/>
      <c r="M132" s="10"/>
    </row>
    <row r="133" spans="1:13" x14ac:dyDescent="0.25">
      <c r="A133" s="10" t="s">
        <v>300</v>
      </c>
      <c r="B133" s="10" t="s">
        <v>301</v>
      </c>
      <c r="C133" s="10" t="s">
        <v>293</v>
      </c>
      <c r="D133" s="10" t="s">
        <v>299</v>
      </c>
      <c r="E133" s="10" t="s">
        <v>1</v>
      </c>
      <c r="F133" s="10"/>
      <c r="G133" s="10"/>
      <c r="H133" s="11"/>
      <c r="I133" s="11"/>
      <c r="J133" s="12"/>
      <c r="K133" s="13"/>
      <c r="L133" s="13"/>
      <c r="M133" s="10"/>
    </row>
    <row r="134" spans="1:13" x14ac:dyDescent="0.25">
      <c r="A134" s="10" t="s">
        <v>302</v>
      </c>
      <c r="B134" s="10" t="s">
        <v>303</v>
      </c>
      <c r="C134" s="10" t="s">
        <v>293</v>
      </c>
      <c r="D134" s="10" t="s">
        <v>300</v>
      </c>
      <c r="E134" s="10" t="s">
        <v>1</v>
      </c>
      <c r="F134" s="10"/>
      <c r="G134" s="10"/>
      <c r="H134" s="11"/>
      <c r="I134" s="11"/>
      <c r="J134" s="12"/>
      <c r="K134" s="13"/>
      <c r="L134" s="13"/>
      <c r="M134" s="10"/>
    </row>
    <row r="135" spans="1:13" x14ac:dyDescent="0.25">
      <c r="A135" s="10" t="s">
        <v>304</v>
      </c>
      <c r="B135" s="10" t="s">
        <v>138</v>
      </c>
      <c r="C135" s="10" t="s">
        <v>293</v>
      </c>
      <c r="D135" s="10" t="s">
        <v>302</v>
      </c>
      <c r="E135" s="10" t="s">
        <v>1</v>
      </c>
      <c r="F135" s="10"/>
      <c r="G135" s="10"/>
      <c r="H135" s="11"/>
      <c r="I135" s="11"/>
      <c r="J135" s="12"/>
      <c r="K135" s="13"/>
      <c r="L135" s="13"/>
      <c r="M135" s="10"/>
    </row>
    <row r="136" spans="1:13" x14ac:dyDescent="0.25">
      <c r="A136" s="6" t="s">
        <v>305</v>
      </c>
      <c r="B136" s="6" t="s">
        <v>285</v>
      </c>
      <c r="C136" s="6" t="s">
        <v>265</v>
      </c>
      <c r="D136" s="6" t="s">
        <v>304</v>
      </c>
      <c r="E136" s="6" t="s">
        <v>18</v>
      </c>
      <c r="F136" s="6"/>
      <c r="G136" s="6"/>
      <c r="H136" s="7"/>
      <c r="I136" s="7"/>
      <c r="J136" s="8"/>
      <c r="K136" s="9"/>
      <c r="L136" s="9"/>
      <c r="M136" s="6"/>
    </row>
    <row r="137" spans="1:13" x14ac:dyDescent="0.25">
      <c r="A137" s="10" t="s">
        <v>306</v>
      </c>
      <c r="B137" s="10" t="s">
        <v>307</v>
      </c>
      <c r="C137" s="10" t="s">
        <v>305</v>
      </c>
      <c r="D137" s="10" t="s">
        <v>304</v>
      </c>
      <c r="E137" s="10" t="s">
        <v>1</v>
      </c>
      <c r="F137" s="10"/>
      <c r="G137" s="10"/>
      <c r="H137" s="11"/>
      <c r="I137" s="11"/>
      <c r="J137" s="12"/>
      <c r="K137" s="13"/>
      <c r="L137" s="13"/>
      <c r="M137" s="10"/>
    </row>
    <row r="138" spans="1:13" x14ac:dyDescent="0.25">
      <c r="A138" s="10" t="s">
        <v>308</v>
      </c>
      <c r="B138" s="10" t="s">
        <v>309</v>
      </c>
      <c r="C138" s="10" t="s">
        <v>305</v>
      </c>
      <c r="D138" s="10" t="s">
        <v>306</v>
      </c>
      <c r="E138" s="10" t="s">
        <v>1</v>
      </c>
      <c r="F138" s="10"/>
      <c r="G138" s="10"/>
      <c r="H138" s="11"/>
      <c r="I138" s="11"/>
      <c r="J138" s="12"/>
      <c r="K138" s="13"/>
      <c r="L138" s="13"/>
      <c r="M138" s="10"/>
    </row>
    <row r="139" spans="1:13" x14ac:dyDescent="0.25">
      <c r="A139" s="10" t="s">
        <v>310</v>
      </c>
      <c r="B139" s="10" t="s">
        <v>311</v>
      </c>
      <c r="C139" s="10" t="s">
        <v>305</v>
      </c>
      <c r="D139" s="10" t="s">
        <v>308</v>
      </c>
      <c r="E139" s="10" t="s">
        <v>1</v>
      </c>
      <c r="F139" s="10"/>
      <c r="G139" s="10"/>
      <c r="H139" s="11"/>
      <c r="I139" s="11"/>
      <c r="J139" s="12"/>
      <c r="K139" s="13"/>
      <c r="L139" s="13"/>
      <c r="M139" s="10"/>
    </row>
    <row r="140" spans="1:13" x14ac:dyDescent="0.25">
      <c r="A140" s="10" t="s">
        <v>312</v>
      </c>
      <c r="B140" s="10" t="s">
        <v>313</v>
      </c>
      <c r="C140" s="10" t="s">
        <v>305</v>
      </c>
      <c r="D140" s="10" t="s">
        <v>306</v>
      </c>
      <c r="E140" s="10" t="s">
        <v>1</v>
      </c>
      <c r="F140" s="10"/>
      <c r="G140" s="10"/>
      <c r="H140" s="11"/>
      <c r="I140" s="11"/>
      <c r="J140" s="12"/>
      <c r="K140" s="13"/>
      <c r="L140" s="13"/>
      <c r="M140" s="10"/>
    </row>
    <row r="141" spans="1:13" x14ac:dyDescent="0.25">
      <c r="A141" s="10" t="s">
        <v>314</v>
      </c>
      <c r="B141" s="10" t="s">
        <v>315</v>
      </c>
      <c r="C141" s="10" t="s">
        <v>305</v>
      </c>
      <c r="D141" s="10" t="s">
        <v>316</v>
      </c>
      <c r="E141" s="10" t="s">
        <v>1</v>
      </c>
      <c r="F141" s="10"/>
      <c r="G141" s="10"/>
      <c r="H141" s="11"/>
      <c r="I141" s="11"/>
      <c r="J141" s="12"/>
      <c r="K141" s="13"/>
      <c r="L141" s="13"/>
      <c r="M141" s="10"/>
    </row>
    <row r="142" spans="1:13" x14ac:dyDescent="0.25">
      <c r="A142" s="6" t="s">
        <v>317</v>
      </c>
      <c r="B142" s="6" t="s">
        <v>277</v>
      </c>
      <c r="C142" s="6" t="s">
        <v>265</v>
      </c>
      <c r="D142" s="6" t="s">
        <v>314</v>
      </c>
      <c r="E142" s="6" t="s">
        <v>18</v>
      </c>
      <c r="F142" s="6"/>
      <c r="G142" s="6"/>
      <c r="H142" s="7"/>
      <c r="I142" s="7"/>
      <c r="J142" s="8"/>
      <c r="K142" s="9"/>
      <c r="L142" s="9"/>
      <c r="M142" s="6"/>
    </row>
    <row r="143" spans="1:13" x14ac:dyDescent="0.25">
      <c r="A143" s="10" t="s">
        <v>318</v>
      </c>
      <c r="B143" s="10" t="s">
        <v>319</v>
      </c>
      <c r="C143" s="10" t="s">
        <v>317</v>
      </c>
      <c r="D143" s="10" t="s">
        <v>294</v>
      </c>
      <c r="E143" s="10" t="s">
        <v>1</v>
      </c>
      <c r="F143" s="10"/>
      <c r="G143" s="10"/>
      <c r="H143" s="11"/>
      <c r="I143" s="11"/>
      <c r="J143" s="12"/>
      <c r="K143" s="13"/>
      <c r="L143" s="13"/>
      <c r="M143" s="10"/>
    </row>
    <row r="144" spans="1:13" x14ac:dyDescent="0.25">
      <c r="A144" s="10" t="s">
        <v>320</v>
      </c>
      <c r="B144" s="10" t="s">
        <v>321</v>
      </c>
      <c r="C144" s="10" t="s">
        <v>317</v>
      </c>
      <c r="D144" s="10" t="s">
        <v>294</v>
      </c>
      <c r="E144" s="10" t="s">
        <v>1</v>
      </c>
      <c r="F144" s="10"/>
      <c r="G144" s="10"/>
      <c r="H144" s="11"/>
      <c r="I144" s="11"/>
      <c r="J144" s="12"/>
      <c r="K144" s="13"/>
      <c r="L144" s="13"/>
      <c r="M144" s="10"/>
    </row>
    <row r="145" spans="1:13" x14ac:dyDescent="0.25">
      <c r="A145" s="10" t="s">
        <v>322</v>
      </c>
      <c r="B145" s="10" t="s">
        <v>323</v>
      </c>
      <c r="C145" s="10" t="s">
        <v>317</v>
      </c>
      <c r="D145" s="10" t="s">
        <v>320</v>
      </c>
      <c r="E145" s="10" t="s">
        <v>1</v>
      </c>
      <c r="F145" s="10"/>
      <c r="G145" s="10"/>
      <c r="H145" s="11"/>
      <c r="I145" s="11"/>
      <c r="J145" s="12"/>
      <c r="K145" s="13"/>
      <c r="L145" s="13"/>
      <c r="M145" s="10"/>
    </row>
    <row r="146" spans="1:13" x14ac:dyDescent="0.25">
      <c r="A146" s="10" t="s">
        <v>324</v>
      </c>
      <c r="B146" s="10" t="s">
        <v>325</v>
      </c>
      <c r="C146" s="10" t="s">
        <v>317</v>
      </c>
      <c r="D146" s="10" t="s">
        <v>314</v>
      </c>
      <c r="E146" s="10" t="s">
        <v>1</v>
      </c>
      <c r="F146" s="10"/>
      <c r="G146" s="10"/>
      <c r="H146" s="11"/>
      <c r="I146" s="11"/>
      <c r="J146" s="12"/>
      <c r="K146" s="13"/>
      <c r="L146" s="13"/>
      <c r="M146" s="10"/>
    </row>
    <row r="147" spans="1:13" x14ac:dyDescent="0.25">
      <c r="A147" s="10" t="s">
        <v>326</v>
      </c>
      <c r="B147" s="10" t="s">
        <v>327</v>
      </c>
      <c r="C147" s="10" t="s">
        <v>317</v>
      </c>
      <c r="D147" s="10" t="s">
        <v>314</v>
      </c>
      <c r="E147" s="10" t="s">
        <v>1</v>
      </c>
      <c r="F147" s="10"/>
      <c r="G147" s="10"/>
      <c r="H147" s="11"/>
      <c r="I147" s="11"/>
      <c r="J147" s="12"/>
      <c r="K147" s="13"/>
      <c r="L147" s="13"/>
      <c r="M147" s="10"/>
    </row>
    <row r="148" spans="1:13" x14ac:dyDescent="0.25">
      <c r="A148" s="10" t="s">
        <v>328</v>
      </c>
      <c r="B148" s="10" t="s">
        <v>329</v>
      </c>
      <c r="C148" s="10" t="s">
        <v>317</v>
      </c>
      <c r="D148" s="10" t="s">
        <v>314</v>
      </c>
      <c r="E148" s="10" t="s">
        <v>1</v>
      </c>
      <c r="F148" s="10"/>
      <c r="G148" s="10"/>
      <c r="H148" s="11"/>
      <c r="I148" s="11"/>
      <c r="J148" s="12"/>
      <c r="K148" s="13"/>
      <c r="L148" s="13"/>
      <c r="M148" s="10"/>
    </row>
    <row r="149" spans="1:13" x14ac:dyDescent="0.25">
      <c r="A149" s="10" t="s">
        <v>330</v>
      </c>
      <c r="B149" s="10" t="s">
        <v>331</v>
      </c>
      <c r="C149" s="10" t="s">
        <v>317</v>
      </c>
      <c r="D149" s="10" t="s">
        <v>332</v>
      </c>
      <c r="E149" s="10" t="s">
        <v>60</v>
      </c>
      <c r="F149" s="10"/>
      <c r="G149" s="10"/>
      <c r="H149" s="11"/>
      <c r="I149" s="11"/>
      <c r="J149" s="12"/>
      <c r="K149" s="13"/>
      <c r="L149" s="13"/>
      <c r="M149" s="10"/>
    </row>
    <row r="150" spans="1:13" x14ac:dyDescent="0.25">
      <c r="A150" s="2" t="s">
        <v>333</v>
      </c>
      <c r="B150" s="2" t="s">
        <v>334</v>
      </c>
      <c r="C150" s="2"/>
      <c r="D150" s="2"/>
      <c r="E150" s="2" t="s">
        <v>15</v>
      </c>
      <c r="F150" s="2"/>
      <c r="G150" s="2"/>
      <c r="H150" s="3"/>
      <c r="I150" s="3"/>
      <c r="J150" s="4"/>
      <c r="K150" s="5"/>
      <c r="L150" s="5"/>
      <c r="M150" s="2"/>
    </row>
    <row r="151" spans="1:13" x14ac:dyDescent="0.25">
      <c r="A151" s="6" t="s">
        <v>335</v>
      </c>
      <c r="B151" s="6" t="s">
        <v>336</v>
      </c>
      <c r="C151" s="6" t="s">
        <v>333</v>
      </c>
      <c r="D151" s="6" t="s">
        <v>51</v>
      </c>
      <c r="E151" s="6" t="s">
        <v>18</v>
      </c>
      <c r="F151" s="6"/>
      <c r="G151" s="6"/>
      <c r="H151" s="7"/>
      <c r="I151" s="7"/>
      <c r="J151" s="8"/>
      <c r="K151" s="9"/>
      <c r="L151" s="9"/>
      <c r="M151" s="6"/>
    </row>
    <row r="152" spans="1:13" x14ac:dyDescent="0.25">
      <c r="A152" s="10" t="s">
        <v>337</v>
      </c>
      <c r="B152" s="10" t="s">
        <v>338</v>
      </c>
      <c r="C152" s="10" t="s">
        <v>335</v>
      </c>
      <c r="D152" s="10" t="s">
        <v>51</v>
      </c>
      <c r="E152" s="10" t="s">
        <v>1</v>
      </c>
      <c r="F152" s="10"/>
      <c r="G152" s="10"/>
      <c r="H152" s="11"/>
      <c r="I152" s="11"/>
      <c r="J152" s="12"/>
      <c r="K152" s="13"/>
      <c r="L152" s="13"/>
      <c r="M152" s="10"/>
    </row>
    <row r="153" spans="1:13" x14ac:dyDescent="0.25">
      <c r="A153" s="10" t="s">
        <v>339</v>
      </c>
      <c r="B153" s="10" t="s">
        <v>340</v>
      </c>
      <c r="C153" s="10" t="s">
        <v>335</v>
      </c>
      <c r="D153" s="10" t="s">
        <v>337</v>
      </c>
      <c r="E153" s="10" t="s">
        <v>1</v>
      </c>
      <c r="F153" s="10"/>
      <c r="G153" s="10"/>
      <c r="H153" s="11"/>
      <c r="I153" s="11"/>
      <c r="J153" s="12"/>
      <c r="K153" s="13"/>
      <c r="L153" s="13"/>
      <c r="M153" s="10"/>
    </row>
    <row r="154" spans="1:13" x14ac:dyDescent="0.25">
      <c r="A154" s="10" t="s">
        <v>341</v>
      </c>
      <c r="B154" s="10" t="s">
        <v>342</v>
      </c>
      <c r="C154" s="10" t="s">
        <v>335</v>
      </c>
      <c r="D154" s="10" t="s">
        <v>337</v>
      </c>
      <c r="E154" s="10" t="s">
        <v>1</v>
      </c>
      <c r="F154" s="10"/>
      <c r="G154" s="10"/>
      <c r="H154" s="11"/>
      <c r="I154" s="11"/>
      <c r="J154" s="12"/>
      <c r="K154" s="13"/>
      <c r="L154" s="13"/>
      <c r="M154" s="10"/>
    </row>
    <row r="155" spans="1:13" x14ac:dyDescent="0.25">
      <c r="A155" s="10" t="s">
        <v>343</v>
      </c>
      <c r="B155" s="10" t="s">
        <v>344</v>
      </c>
      <c r="C155" s="10" t="s">
        <v>335</v>
      </c>
      <c r="D155" s="10" t="s">
        <v>337</v>
      </c>
      <c r="E155" s="10" t="s">
        <v>1</v>
      </c>
      <c r="F155" s="10"/>
      <c r="G155" s="10"/>
      <c r="H155" s="11"/>
      <c r="I155" s="11"/>
      <c r="J155" s="12"/>
      <c r="K155" s="13"/>
      <c r="L155" s="13"/>
      <c r="M155" s="10"/>
    </row>
    <row r="156" spans="1:13" x14ac:dyDescent="0.25">
      <c r="A156" s="10" t="s">
        <v>345</v>
      </c>
      <c r="B156" s="10" t="s">
        <v>346</v>
      </c>
      <c r="C156" s="10" t="s">
        <v>335</v>
      </c>
      <c r="D156" s="10" t="s">
        <v>347</v>
      </c>
      <c r="E156" s="10" t="s">
        <v>1</v>
      </c>
      <c r="F156" s="10"/>
      <c r="G156" s="10"/>
      <c r="H156" s="11"/>
      <c r="I156" s="11"/>
      <c r="J156" s="12"/>
      <c r="K156" s="13"/>
      <c r="L156" s="13"/>
      <c r="M156" s="10"/>
    </row>
    <row r="157" spans="1:13" x14ac:dyDescent="0.25">
      <c r="A157" s="6" t="s">
        <v>348</v>
      </c>
      <c r="B157" s="6" t="s">
        <v>349</v>
      </c>
      <c r="C157" s="6" t="s">
        <v>333</v>
      </c>
      <c r="D157" s="6" t="s">
        <v>350</v>
      </c>
      <c r="E157" s="6" t="s">
        <v>18</v>
      </c>
      <c r="F157" s="6"/>
      <c r="G157" s="6"/>
      <c r="H157" s="7"/>
      <c r="I157" s="7"/>
      <c r="J157" s="8"/>
      <c r="K157" s="9"/>
      <c r="L157" s="9"/>
      <c r="M157" s="6"/>
    </row>
    <row r="158" spans="1:13" x14ac:dyDescent="0.25">
      <c r="A158" s="10" t="s">
        <v>351</v>
      </c>
      <c r="B158" s="10" t="s">
        <v>352</v>
      </c>
      <c r="C158" s="10" t="s">
        <v>348</v>
      </c>
      <c r="D158" s="10" t="s">
        <v>330</v>
      </c>
      <c r="E158" s="10" t="s">
        <v>1</v>
      </c>
      <c r="F158" s="10"/>
      <c r="G158" s="10"/>
      <c r="H158" s="11"/>
      <c r="I158" s="11"/>
      <c r="J158" s="12"/>
      <c r="K158" s="13"/>
      <c r="L158" s="13"/>
      <c r="M158" s="10"/>
    </row>
    <row r="159" spans="1:13" x14ac:dyDescent="0.25">
      <c r="A159" s="10" t="s">
        <v>353</v>
      </c>
      <c r="B159" s="10" t="s">
        <v>354</v>
      </c>
      <c r="C159" s="10" t="s">
        <v>348</v>
      </c>
      <c r="D159" s="10" t="s">
        <v>351</v>
      </c>
      <c r="E159" s="10" t="s">
        <v>1</v>
      </c>
      <c r="F159" s="10"/>
      <c r="G159" s="10"/>
      <c r="H159" s="11"/>
      <c r="I159" s="11"/>
      <c r="J159" s="12"/>
      <c r="K159" s="13"/>
      <c r="L159" s="13"/>
      <c r="M159" s="10"/>
    </row>
    <row r="160" spans="1:13" x14ac:dyDescent="0.25">
      <c r="A160" s="10" t="s">
        <v>355</v>
      </c>
      <c r="B160" s="10" t="s">
        <v>356</v>
      </c>
      <c r="C160" s="10" t="s">
        <v>348</v>
      </c>
      <c r="D160" s="10" t="s">
        <v>357</v>
      </c>
      <c r="E160" s="10" t="s">
        <v>1</v>
      </c>
      <c r="F160" s="10"/>
      <c r="G160" s="10"/>
      <c r="H160" s="11"/>
      <c r="I160" s="11"/>
      <c r="J160" s="12"/>
      <c r="K160" s="13"/>
      <c r="L160" s="13"/>
      <c r="M160" s="10"/>
    </row>
    <row r="161" spans="1:13" x14ac:dyDescent="0.25">
      <c r="A161" s="10" t="s">
        <v>358</v>
      </c>
      <c r="B161" s="10" t="s">
        <v>359</v>
      </c>
      <c r="C161" s="10" t="s">
        <v>348</v>
      </c>
      <c r="D161" s="10" t="s">
        <v>355</v>
      </c>
      <c r="E161" s="10" t="s">
        <v>1</v>
      </c>
      <c r="F161" s="10"/>
      <c r="G161" s="10"/>
      <c r="H161" s="11"/>
      <c r="I161" s="11"/>
      <c r="J161" s="12"/>
      <c r="K161" s="13"/>
      <c r="L161" s="13"/>
      <c r="M161" s="10"/>
    </row>
    <row r="162" spans="1:13" x14ac:dyDescent="0.25">
      <c r="A162" s="10" t="s">
        <v>360</v>
      </c>
      <c r="B162" s="10" t="s">
        <v>361</v>
      </c>
      <c r="C162" s="10" t="s">
        <v>348</v>
      </c>
      <c r="D162" s="10" t="s">
        <v>358</v>
      </c>
      <c r="E162" s="10" t="s">
        <v>1</v>
      </c>
      <c r="F162" s="10"/>
      <c r="G162" s="10"/>
      <c r="H162" s="11"/>
      <c r="I162" s="11"/>
      <c r="J162" s="12"/>
      <c r="K162" s="13"/>
      <c r="L162" s="13"/>
      <c r="M162" s="10"/>
    </row>
    <row r="163" spans="1:13" x14ac:dyDescent="0.25">
      <c r="A163" s="10" t="s">
        <v>362</v>
      </c>
      <c r="B163" s="10" t="s">
        <v>363</v>
      </c>
      <c r="C163" s="10" t="s">
        <v>348</v>
      </c>
      <c r="D163" s="10" t="s">
        <v>360</v>
      </c>
      <c r="E163" s="10" t="s">
        <v>1</v>
      </c>
      <c r="F163" s="10"/>
      <c r="G163" s="10"/>
      <c r="H163" s="11"/>
      <c r="I163" s="11"/>
      <c r="J163" s="12"/>
      <c r="K163" s="13"/>
      <c r="L163" s="13"/>
      <c r="M163" s="10"/>
    </row>
    <row r="164" spans="1:13" x14ac:dyDescent="0.25">
      <c r="A164" s="10" t="s">
        <v>364</v>
      </c>
      <c r="B164" s="10" t="s">
        <v>365</v>
      </c>
      <c r="C164" s="10" t="s">
        <v>348</v>
      </c>
      <c r="D164" s="10" t="s">
        <v>358</v>
      </c>
      <c r="E164" s="10" t="s">
        <v>1</v>
      </c>
      <c r="F164" s="10"/>
      <c r="G164" s="10"/>
      <c r="H164" s="11"/>
      <c r="I164" s="11"/>
      <c r="J164" s="12"/>
      <c r="K164" s="13"/>
      <c r="L164" s="13"/>
      <c r="M164" s="10"/>
    </row>
    <row r="165" spans="1:13" x14ac:dyDescent="0.25">
      <c r="A165" s="10" t="s">
        <v>366</v>
      </c>
      <c r="B165" s="10" t="s">
        <v>367</v>
      </c>
      <c r="C165" s="10" t="s">
        <v>348</v>
      </c>
      <c r="D165" s="10" t="s">
        <v>362</v>
      </c>
      <c r="E165" s="10" t="s">
        <v>1</v>
      </c>
      <c r="F165" s="10"/>
      <c r="G165" s="10"/>
      <c r="H165" s="11"/>
      <c r="I165" s="11"/>
      <c r="J165" s="12"/>
      <c r="K165" s="13"/>
      <c r="L165" s="13"/>
      <c r="M165" s="10"/>
    </row>
    <row r="166" spans="1:13" x14ac:dyDescent="0.25">
      <c r="A166" s="6" t="s">
        <v>368</v>
      </c>
      <c r="B166" s="6" t="s">
        <v>369</v>
      </c>
      <c r="C166" s="6" t="s">
        <v>333</v>
      </c>
      <c r="D166" s="6" t="s">
        <v>366</v>
      </c>
      <c r="E166" s="6" t="s">
        <v>18</v>
      </c>
      <c r="F166" s="6"/>
      <c r="G166" s="6"/>
      <c r="H166" s="7"/>
      <c r="I166" s="7"/>
      <c r="J166" s="8"/>
      <c r="K166" s="9"/>
      <c r="L166" s="9"/>
      <c r="M166" s="6"/>
    </row>
    <row r="167" spans="1:13" x14ac:dyDescent="0.25">
      <c r="A167" s="10" t="s">
        <v>370</v>
      </c>
      <c r="B167" s="10" t="s">
        <v>371</v>
      </c>
      <c r="C167" s="10" t="s">
        <v>368</v>
      </c>
      <c r="D167" s="10" t="s">
        <v>362</v>
      </c>
      <c r="E167" s="10" t="s">
        <v>1</v>
      </c>
      <c r="F167" s="10"/>
      <c r="G167" s="10"/>
      <c r="H167" s="11"/>
      <c r="I167" s="11"/>
      <c r="J167" s="12"/>
      <c r="K167" s="13"/>
      <c r="L167" s="13"/>
      <c r="M167" s="10"/>
    </row>
    <row r="168" spans="1:13" x14ac:dyDescent="0.25">
      <c r="A168" s="10" t="s">
        <v>372</v>
      </c>
      <c r="B168" s="10" t="s">
        <v>373</v>
      </c>
      <c r="C168" s="10" t="s">
        <v>368</v>
      </c>
      <c r="D168" s="10" t="s">
        <v>370</v>
      </c>
      <c r="E168" s="10" t="s">
        <v>1</v>
      </c>
      <c r="F168" s="10"/>
      <c r="G168" s="10"/>
      <c r="H168" s="11"/>
      <c r="I168" s="11"/>
      <c r="J168" s="12"/>
      <c r="K168" s="13"/>
      <c r="L168" s="13"/>
      <c r="M168" s="10"/>
    </row>
    <row r="169" spans="1:13" x14ac:dyDescent="0.25">
      <c r="A169" s="10" t="s">
        <v>374</v>
      </c>
      <c r="B169" s="10" t="s">
        <v>375</v>
      </c>
      <c r="C169" s="10" t="s">
        <v>368</v>
      </c>
      <c r="D169" s="10" t="s">
        <v>372</v>
      </c>
      <c r="E169" s="10" t="s">
        <v>1</v>
      </c>
      <c r="F169" s="10"/>
      <c r="G169" s="10"/>
      <c r="H169" s="11"/>
      <c r="I169" s="11"/>
      <c r="J169" s="12"/>
      <c r="K169" s="13"/>
      <c r="L169" s="13"/>
      <c r="M169" s="10"/>
    </row>
    <row r="170" spans="1:13" x14ac:dyDescent="0.25">
      <c r="A170" s="10" t="s">
        <v>376</v>
      </c>
      <c r="B170" s="10" t="s">
        <v>377</v>
      </c>
      <c r="C170" s="10" t="s">
        <v>368</v>
      </c>
      <c r="D170" s="10" t="s">
        <v>366</v>
      </c>
      <c r="E170" s="10" t="s">
        <v>1</v>
      </c>
      <c r="F170" s="10"/>
      <c r="G170" s="10"/>
      <c r="H170" s="11"/>
      <c r="I170" s="11"/>
      <c r="J170" s="12"/>
      <c r="K170" s="13"/>
      <c r="L170" s="13"/>
      <c r="M170" s="10"/>
    </row>
    <row r="171" spans="1:13" x14ac:dyDescent="0.25">
      <c r="A171" s="10" t="s">
        <v>378</v>
      </c>
      <c r="B171" s="10" t="s">
        <v>379</v>
      </c>
      <c r="C171" s="10" t="s">
        <v>368</v>
      </c>
      <c r="D171" s="10" t="s">
        <v>380</v>
      </c>
      <c r="E171" s="10" t="s">
        <v>60</v>
      </c>
      <c r="F171" s="10"/>
      <c r="G171" s="10"/>
      <c r="H171" s="11"/>
      <c r="I171" s="11"/>
      <c r="J171" s="12"/>
      <c r="K171" s="13"/>
      <c r="L171" s="13"/>
      <c r="M171" s="10"/>
    </row>
    <row r="172" spans="1:13" x14ac:dyDescent="0.25">
      <c r="A172" s="2" t="s">
        <v>381</v>
      </c>
      <c r="B172" s="2" t="s">
        <v>382</v>
      </c>
      <c r="C172" s="2"/>
      <c r="D172" s="2"/>
      <c r="E172" s="2" t="s">
        <v>15</v>
      </c>
      <c r="F172" s="2"/>
      <c r="G172" s="2"/>
      <c r="H172" s="3"/>
      <c r="I172" s="3"/>
      <c r="J172" s="4"/>
      <c r="K172" s="5"/>
      <c r="L172" s="5"/>
      <c r="M172" s="2"/>
    </row>
    <row r="173" spans="1:13" x14ac:dyDescent="0.25">
      <c r="A173" s="6" t="s">
        <v>383</v>
      </c>
      <c r="B173" s="6" t="s">
        <v>384</v>
      </c>
      <c r="C173" s="6" t="s">
        <v>381</v>
      </c>
      <c r="D173" s="6" t="s">
        <v>261</v>
      </c>
      <c r="E173" s="6" t="s">
        <v>18</v>
      </c>
      <c r="F173" s="6"/>
      <c r="G173" s="6"/>
      <c r="H173" s="7"/>
      <c r="I173" s="7"/>
      <c r="J173" s="8"/>
      <c r="K173" s="9"/>
      <c r="L173" s="9"/>
      <c r="M173" s="6"/>
    </row>
    <row r="174" spans="1:13" x14ac:dyDescent="0.25">
      <c r="A174" s="10" t="s">
        <v>385</v>
      </c>
      <c r="B174" s="10" t="s">
        <v>386</v>
      </c>
      <c r="C174" s="10" t="s">
        <v>383</v>
      </c>
      <c r="D174" s="10" t="s">
        <v>261</v>
      </c>
      <c r="E174" s="10" t="s">
        <v>1</v>
      </c>
      <c r="F174" s="10"/>
      <c r="G174" s="10"/>
      <c r="H174" s="11"/>
      <c r="I174" s="11"/>
      <c r="J174" s="12"/>
      <c r="K174" s="13"/>
      <c r="L174" s="13"/>
      <c r="M174" s="10"/>
    </row>
    <row r="175" spans="1:13" x14ac:dyDescent="0.25">
      <c r="A175" s="10" t="s">
        <v>387</v>
      </c>
      <c r="B175" s="10" t="s">
        <v>388</v>
      </c>
      <c r="C175" s="10" t="s">
        <v>383</v>
      </c>
      <c r="D175" s="10" t="s">
        <v>385</v>
      </c>
      <c r="E175" s="10" t="s">
        <v>1</v>
      </c>
      <c r="F175" s="10"/>
      <c r="G175" s="10"/>
      <c r="H175" s="11"/>
      <c r="I175" s="11"/>
      <c r="J175" s="12"/>
      <c r="K175" s="13"/>
      <c r="L175" s="13"/>
      <c r="M175" s="10"/>
    </row>
    <row r="176" spans="1:13" x14ac:dyDescent="0.25">
      <c r="A176" s="10" t="s">
        <v>389</v>
      </c>
      <c r="B176" s="10" t="s">
        <v>390</v>
      </c>
      <c r="C176" s="10" t="s">
        <v>383</v>
      </c>
      <c r="D176" s="10" t="s">
        <v>387</v>
      </c>
      <c r="E176" s="10" t="s">
        <v>1</v>
      </c>
      <c r="F176" s="10"/>
      <c r="G176" s="10"/>
      <c r="H176" s="11"/>
      <c r="I176" s="11"/>
      <c r="J176" s="12"/>
      <c r="K176" s="13"/>
      <c r="L176" s="13"/>
      <c r="M176" s="10"/>
    </row>
    <row r="177" spans="1:13" x14ac:dyDescent="0.25">
      <c r="A177" s="10" t="s">
        <v>391</v>
      </c>
      <c r="B177" s="10" t="s">
        <v>392</v>
      </c>
      <c r="C177" s="10" t="s">
        <v>383</v>
      </c>
      <c r="D177" s="10" t="s">
        <v>389</v>
      </c>
      <c r="E177" s="10" t="s">
        <v>1</v>
      </c>
      <c r="F177" s="10"/>
      <c r="G177" s="10"/>
      <c r="H177" s="11"/>
      <c r="I177" s="11"/>
      <c r="J177" s="12"/>
      <c r="K177" s="13"/>
      <c r="L177" s="13"/>
      <c r="M177" s="10"/>
    </row>
    <row r="178" spans="1:13" x14ac:dyDescent="0.25">
      <c r="A178" s="6" t="s">
        <v>393</v>
      </c>
      <c r="B178" s="6" t="s">
        <v>394</v>
      </c>
      <c r="C178" s="6" t="s">
        <v>381</v>
      </c>
      <c r="D178" s="6" t="s">
        <v>395</v>
      </c>
      <c r="E178" s="6" t="s">
        <v>18</v>
      </c>
      <c r="F178" s="6"/>
      <c r="G178" s="6"/>
      <c r="H178" s="7"/>
      <c r="I178" s="7"/>
      <c r="J178" s="8"/>
      <c r="K178" s="9"/>
      <c r="L178" s="9"/>
      <c r="M178" s="6"/>
    </row>
    <row r="179" spans="1:13" x14ac:dyDescent="0.25">
      <c r="A179" s="10" t="s">
        <v>396</v>
      </c>
      <c r="B179" s="10" t="s">
        <v>397</v>
      </c>
      <c r="C179" s="10" t="s">
        <v>393</v>
      </c>
      <c r="D179" s="10" t="s">
        <v>391</v>
      </c>
      <c r="E179" s="10" t="s">
        <v>1</v>
      </c>
      <c r="F179" s="10"/>
      <c r="G179" s="10"/>
      <c r="H179" s="11"/>
      <c r="I179" s="11"/>
      <c r="J179" s="12"/>
      <c r="K179" s="13"/>
      <c r="L179" s="13"/>
      <c r="M179" s="10"/>
    </row>
    <row r="180" spans="1:13" x14ac:dyDescent="0.25">
      <c r="A180" s="10" t="s">
        <v>398</v>
      </c>
      <c r="B180" s="10" t="s">
        <v>399</v>
      </c>
      <c r="C180" s="10" t="s">
        <v>393</v>
      </c>
      <c r="D180" s="10" t="s">
        <v>396</v>
      </c>
      <c r="E180" s="10" t="s">
        <v>1</v>
      </c>
      <c r="F180" s="10"/>
      <c r="G180" s="10"/>
      <c r="H180" s="11"/>
      <c r="I180" s="11"/>
      <c r="J180" s="12"/>
      <c r="K180" s="13"/>
      <c r="L180" s="13"/>
      <c r="M180" s="10"/>
    </row>
    <row r="181" spans="1:13" x14ac:dyDescent="0.25">
      <c r="A181" s="10" t="s">
        <v>400</v>
      </c>
      <c r="B181" s="10" t="s">
        <v>401</v>
      </c>
      <c r="C181" s="10" t="s">
        <v>393</v>
      </c>
      <c r="D181" s="10" t="s">
        <v>398</v>
      </c>
      <c r="E181" s="10" t="s">
        <v>1</v>
      </c>
      <c r="F181" s="10"/>
      <c r="G181" s="10"/>
      <c r="H181" s="11"/>
      <c r="I181" s="11"/>
      <c r="J181" s="12"/>
      <c r="K181" s="13"/>
      <c r="L181" s="13"/>
      <c r="M181" s="10"/>
    </row>
    <row r="182" spans="1:13" x14ac:dyDescent="0.25">
      <c r="A182" s="10" t="s">
        <v>402</v>
      </c>
      <c r="B182" s="10" t="s">
        <v>403</v>
      </c>
      <c r="C182" s="10" t="s">
        <v>393</v>
      </c>
      <c r="D182" s="10" t="s">
        <v>400</v>
      </c>
      <c r="E182" s="10" t="s">
        <v>1</v>
      </c>
      <c r="F182" s="10"/>
      <c r="G182" s="10"/>
      <c r="H182" s="11"/>
      <c r="I182" s="11"/>
      <c r="J182" s="12"/>
      <c r="K182" s="13"/>
      <c r="L182" s="13"/>
      <c r="M182" s="10"/>
    </row>
    <row r="183" spans="1:13" x14ac:dyDescent="0.25">
      <c r="A183" s="10" t="s">
        <v>404</v>
      </c>
      <c r="B183" s="10" t="s">
        <v>405</v>
      </c>
      <c r="C183" s="10" t="s">
        <v>393</v>
      </c>
      <c r="D183" s="10" t="s">
        <v>402</v>
      </c>
      <c r="E183" s="10" t="s">
        <v>1</v>
      </c>
      <c r="F183" s="10"/>
      <c r="G183" s="10"/>
      <c r="H183" s="11"/>
      <c r="I183" s="11"/>
      <c r="J183" s="12"/>
      <c r="K183" s="13"/>
      <c r="L183" s="13"/>
      <c r="M183" s="10"/>
    </row>
    <row r="184" spans="1:13" x14ac:dyDescent="0.25">
      <c r="A184" s="10" t="s">
        <v>406</v>
      </c>
      <c r="B184" s="10" t="s">
        <v>407</v>
      </c>
      <c r="C184" s="10" t="s">
        <v>393</v>
      </c>
      <c r="D184" s="10" t="s">
        <v>402</v>
      </c>
      <c r="E184" s="10" t="s">
        <v>1</v>
      </c>
      <c r="F184" s="10"/>
      <c r="G184" s="10"/>
      <c r="H184" s="11"/>
      <c r="I184" s="11"/>
      <c r="J184" s="12"/>
      <c r="K184" s="13"/>
      <c r="L184" s="13"/>
      <c r="M184" s="10"/>
    </row>
    <row r="185" spans="1:13" x14ac:dyDescent="0.25">
      <c r="A185" s="6" t="s">
        <v>408</v>
      </c>
      <c r="B185" s="6" t="s">
        <v>409</v>
      </c>
      <c r="C185" s="6" t="s">
        <v>381</v>
      </c>
      <c r="D185" s="6" t="s">
        <v>391</v>
      </c>
      <c r="E185" s="6" t="s">
        <v>18</v>
      </c>
      <c r="F185" s="6"/>
      <c r="G185" s="6"/>
      <c r="H185" s="7"/>
      <c r="I185" s="7"/>
      <c r="J185" s="8"/>
      <c r="K185" s="9"/>
      <c r="L185" s="9"/>
      <c r="M185" s="6"/>
    </row>
    <row r="186" spans="1:13" x14ac:dyDescent="0.25">
      <c r="A186" s="10" t="s">
        <v>410</v>
      </c>
      <c r="B186" s="10" t="s">
        <v>411</v>
      </c>
      <c r="C186" s="10" t="s">
        <v>408</v>
      </c>
      <c r="D186" s="10" t="s">
        <v>391</v>
      </c>
      <c r="E186" s="10" t="s">
        <v>1</v>
      </c>
      <c r="F186" s="10"/>
      <c r="G186" s="10"/>
      <c r="H186" s="11"/>
      <c r="I186" s="11"/>
      <c r="J186" s="12"/>
      <c r="K186" s="13"/>
      <c r="L186" s="13"/>
      <c r="M186" s="10"/>
    </row>
    <row r="187" spans="1:13" x14ac:dyDescent="0.25">
      <c r="A187" s="10" t="s">
        <v>412</v>
      </c>
      <c r="B187" s="10" t="s">
        <v>413</v>
      </c>
      <c r="C187" s="10" t="s">
        <v>408</v>
      </c>
      <c r="D187" s="10" t="s">
        <v>391</v>
      </c>
      <c r="E187" s="10" t="s">
        <v>1</v>
      </c>
      <c r="F187" s="10"/>
      <c r="G187" s="10"/>
      <c r="H187" s="11"/>
      <c r="I187" s="11"/>
      <c r="J187" s="12"/>
      <c r="K187" s="13"/>
      <c r="L187" s="13"/>
      <c r="M187" s="10"/>
    </row>
    <row r="188" spans="1:13" x14ac:dyDescent="0.25">
      <c r="A188" s="10" t="s">
        <v>414</v>
      </c>
      <c r="B188" s="10" t="s">
        <v>415</v>
      </c>
      <c r="C188" s="10" t="s">
        <v>408</v>
      </c>
      <c r="D188" s="10" t="s">
        <v>391</v>
      </c>
      <c r="E188" s="10" t="s">
        <v>1</v>
      </c>
      <c r="F188" s="10"/>
      <c r="G188" s="10"/>
      <c r="H188" s="11"/>
      <c r="I188" s="11"/>
      <c r="J188" s="12"/>
      <c r="K188" s="13"/>
      <c r="L188" s="13"/>
      <c r="M188" s="10"/>
    </row>
    <row r="189" spans="1:13" x14ac:dyDescent="0.25">
      <c r="A189" s="10" t="s">
        <v>416</v>
      </c>
      <c r="B189" s="10" t="s">
        <v>417</v>
      </c>
      <c r="C189" s="10" t="s">
        <v>408</v>
      </c>
      <c r="D189" s="10" t="s">
        <v>414</v>
      </c>
      <c r="E189" s="10" t="s">
        <v>1</v>
      </c>
      <c r="F189" s="10"/>
      <c r="G189" s="10"/>
      <c r="H189" s="11"/>
      <c r="I189" s="11"/>
      <c r="J189" s="12"/>
      <c r="K189" s="13"/>
      <c r="L189" s="13"/>
      <c r="M189" s="10"/>
    </row>
    <row r="190" spans="1:13" x14ac:dyDescent="0.25">
      <c r="A190" s="6" t="s">
        <v>418</v>
      </c>
      <c r="B190" s="6" t="s">
        <v>419</v>
      </c>
      <c r="C190" s="6" t="s">
        <v>381</v>
      </c>
      <c r="D190" s="6" t="s">
        <v>204</v>
      </c>
      <c r="E190" s="6" t="s">
        <v>18</v>
      </c>
      <c r="F190" s="6"/>
      <c r="G190" s="6"/>
      <c r="H190" s="7"/>
      <c r="I190" s="7"/>
      <c r="J190" s="8"/>
      <c r="K190" s="9"/>
      <c r="L190" s="9"/>
      <c r="M190" s="6"/>
    </row>
    <row r="191" spans="1:13" x14ac:dyDescent="0.25">
      <c r="A191" s="10" t="s">
        <v>420</v>
      </c>
      <c r="B191" s="10" t="s">
        <v>421</v>
      </c>
      <c r="C191" s="10" t="s">
        <v>418</v>
      </c>
      <c r="D191" s="10" t="s">
        <v>204</v>
      </c>
      <c r="E191" s="10" t="s">
        <v>1</v>
      </c>
      <c r="F191" s="10"/>
      <c r="G191" s="10"/>
      <c r="H191" s="11"/>
      <c r="I191" s="11"/>
      <c r="J191" s="12"/>
      <c r="K191" s="13"/>
      <c r="L191" s="13"/>
      <c r="M191" s="10"/>
    </row>
    <row r="192" spans="1:13" x14ac:dyDescent="0.25">
      <c r="A192" s="10" t="s">
        <v>422</v>
      </c>
      <c r="B192" s="10" t="s">
        <v>423</v>
      </c>
      <c r="C192" s="10" t="s">
        <v>418</v>
      </c>
      <c r="D192" s="10" t="s">
        <v>420</v>
      </c>
      <c r="E192" s="10" t="s">
        <v>1</v>
      </c>
      <c r="F192" s="10"/>
      <c r="G192" s="10"/>
      <c r="H192" s="11"/>
      <c r="I192" s="11"/>
      <c r="J192" s="12"/>
      <c r="K192" s="13"/>
      <c r="L192" s="13"/>
      <c r="M192" s="10"/>
    </row>
    <row r="193" spans="1:13" x14ac:dyDescent="0.25">
      <c r="A193" s="10" t="s">
        <v>424</v>
      </c>
      <c r="B193" s="10" t="s">
        <v>425</v>
      </c>
      <c r="C193" s="10" t="s">
        <v>418</v>
      </c>
      <c r="D193" s="10" t="s">
        <v>422</v>
      </c>
      <c r="E193" s="10" t="s">
        <v>1</v>
      </c>
      <c r="F193" s="10"/>
      <c r="G193" s="10"/>
      <c r="H193" s="11"/>
      <c r="I193" s="11"/>
      <c r="J193" s="12"/>
      <c r="K193" s="13"/>
      <c r="L193" s="13"/>
      <c r="M193" s="10"/>
    </row>
    <row r="194" spans="1:13" x14ac:dyDescent="0.25">
      <c r="A194" s="10" t="s">
        <v>426</v>
      </c>
      <c r="B194" s="10" t="s">
        <v>427</v>
      </c>
      <c r="C194" s="10" t="s">
        <v>418</v>
      </c>
      <c r="D194" s="10" t="s">
        <v>424</v>
      </c>
      <c r="E194" s="10" t="s">
        <v>1</v>
      </c>
      <c r="F194" s="10"/>
      <c r="G194" s="10"/>
      <c r="H194" s="11"/>
      <c r="I194" s="11"/>
      <c r="J194" s="12"/>
      <c r="K194" s="13"/>
      <c r="L194" s="13"/>
      <c r="M194" s="10"/>
    </row>
    <row r="195" spans="1:13" x14ac:dyDescent="0.25">
      <c r="A195" s="10" t="s">
        <v>428</v>
      </c>
      <c r="B195" s="10" t="s">
        <v>429</v>
      </c>
      <c r="C195" s="10" t="s">
        <v>418</v>
      </c>
      <c r="D195" s="10" t="s">
        <v>426</v>
      </c>
      <c r="E195" s="10" t="s">
        <v>1</v>
      </c>
      <c r="F195" s="10"/>
      <c r="G195" s="10"/>
      <c r="H195" s="11"/>
      <c r="I195" s="11"/>
      <c r="J195" s="12"/>
      <c r="K195" s="13"/>
      <c r="L195" s="13"/>
      <c r="M195" s="10"/>
    </row>
    <row r="196" spans="1:13" x14ac:dyDescent="0.25">
      <c r="A196" s="2" t="s">
        <v>430</v>
      </c>
      <c r="B196" s="2" t="s">
        <v>431</v>
      </c>
      <c r="C196" s="2"/>
      <c r="D196" s="2"/>
      <c r="E196" s="2" t="s">
        <v>15</v>
      </c>
      <c r="F196" s="2"/>
      <c r="G196" s="2"/>
      <c r="H196" s="3"/>
      <c r="I196" s="3"/>
      <c r="J196" s="4"/>
      <c r="K196" s="5"/>
      <c r="L196" s="5"/>
      <c r="M196" s="2"/>
    </row>
    <row r="197" spans="1:13" x14ac:dyDescent="0.25">
      <c r="A197" s="6" t="s">
        <v>432</v>
      </c>
      <c r="B197" s="6" t="s">
        <v>433</v>
      </c>
      <c r="C197" s="6" t="s">
        <v>430</v>
      </c>
      <c r="D197" s="6" t="s">
        <v>259</v>
      </c>
      <c r="E197" s="6" t="s">
        <v>18</v>
      </c>
      <c r="F197" s="6"/>
      <c r="G197" s="6"/>
      <c r="H197" s="7"/>
      <c r="I197" s="7"/>
      <c r="J197" s="8"/>
      <c r="K197" s="9"/>
      <c r="L197" s="9"/>
      <c r="M197" s="6"/>
    </row>
    <row r="198" spans="1:13" x14ac:dyDescent="0.25">
      <c r="A198" s="10" t="s">
        <v>434</v>
      </c>
      <c r="B198" s="10" t="s">
        <v>386</v>
      </c>
      <c r="C198" s="10" t="s">
        <v>432</v>
      </c>
      <c r="D198" s="10" t="s">
        <v>259</v>
      </c>
      <c r="E198" s="10" t="s">
        <v>1</v>
      </c>
      <c r="F198" s="10"/>
      <c r="G198" s="10"/>
      <c r="H198" s="11"/>
      <c r="I198" s="11"/>
      <c r="J198" s="12"/>
      <c r="K198" s="13"/>
      <c r="L198" s="13"/>
      <c r="M198" s="10"/>
    </row>
    <row r="199" spans="1:13" x14ac:dyDescent="0.25">
      <c r="A199" s="10" t="s">
        <v>435</v>
      </c>
      <c r="B199" s="10" t="s">
        <v>436</v>
      </c>
      <c r="C199" s="10" t="s">
        <v>432</v>
      </c>
      <c r="D199" s="10" t="s">
        <v>434</v>
      </c>
      <c r="E199" s="10" t="s">
        <v>1</v>
      </c>
      <c r="F199" s="10"/>
      <c r="G199" s="10"/>
      <c r="H199" s="11"/>
      <c r="I199" s="11"/>
      <c r="J199" s="12"/>
      <c r="K199" s="13"/>
      <c r="L199" s="13"/>
      <c r="M199" s="10"/>
    </row>
    <row r="200" spans="1:13" x14ac:dyDescent="0.25">
      <c r="A200" s="10" t="s">
        <v>437</v>
      </c>
      <c r="B200" s="10" t="s">
        <v>223</v>
      </c>
      <c r="C200" s="10" t="s">
        <v>432</v>
      </c>
      <c r="D200" s="10" t="s">
        <v>435</v>
      </c>
      <c r="E200" s="10" t="s">
        <v>1</v>
      </c>
      <c r="F200" s="10"/>
      <c r="G200" s="10"/>
      <c r="H200" s="11"/>
      <c r="I200" s="11"/>
      <c r="J200" s="12"/>
      <c r="K200" s="13"/>
      <c r="L200" s="13"/>
      <c r="M200" s="10"/>
    </row>
    <row r="201" spans="1:13" x14ac:dyDescent="0.25">
      <c r="A201" s="10" t="s">
        <v>438</v>
      </c>
      <c r="B201" s="10" t="s">
        <v>439</v>
      </c>
      <c r="C201" s="10" t="s">
        <v>432</v>
      </c>
      <c r="D201" s="10" t="s">
        <v>437</v>
      </c>
      <c r="E201" s="10" t="s">
        <v>1</v>
      </c>
      <c r="F201" s="10"/>
      <c r="G201" s="10"/>
      <c r="H201" s="11"/>
      <c r="I201" s="11"/>
      <c r="J201" s="12"/>
      <c r="K201" s="13"/>
      <c r="L201" s="13"/>
      <c r="M201" s="10"/>
    </row>
    <row r="202" spans="1:13" x14ac:dyDescent="0.25">
      <c r="A202" s="6" t="s">
        <v>440</v>
      </c>
      <c r="B202" s="6" t="s">
        <v>441</v>
      </c>
      <c r="C202" s="6" t="s">
        <v>430</v>
      </c>
      <c r="D202" s="6" t="s">
        <v>259</v>
      </c>
      <c r="E202" s="6" t="s">
        <v>18</v>
      </c>
      <c r="F202" s="6"/>
      <c r="G202" s="6"/>
      <c r="H202" s="7"/>
      <c r="I202" s="7"/>
      <c r="J202" s="8"/>
      <c r="K202" s="9"/>
      <c r="L202" s="9"/>
      <c r="M202" s="6"/>
    </row>
    <row r="203" spans="1:13" x14ac:dyDescent="0.25">
      <c r="A203" s="10" t="s">
        <v>442</v>
      </c>
      <c r="B203" s="10" t="s">
        <v>223</v>
      </c>
      <c r="C203" s="10" t="s">
        <v>440</v>
      </c>
      <c r="D203" s="10" t="s">
        <v>259</v>
      </c>
      <c r="E203" s="10" t="s">
        <v>1</v>
      </c>
      <c r="F203" s="10"/>
      <c r="G203" s="10"/>
      <c r="H203" s="11"/>
      <c r="I203" s="11"/>
      <c r="J203" s="12"/>
      <c r="K203" s="13"/>
      <c r="L203" s="13"/>
      <c r="M203" s="10"/>
    </row>
    <row r="204" spans="1:13" x14ac:dyDescent="0.25">
      <c r="A204" s="10" t="s">
        <v>443</v>
      </c>
      <c r="B204" s="10" t="s">
        <v>225</v>
      </c>
      <c r="C204" s="10" t="s">
        <v>440</v>
      </c>
      <c r="D204" s="10" t="s">
        <v>442</v>
      </c>
      <c r="E204" s="10" t="s">
        <v>1</v>
      </c>
      <c r="F204" s="10"/>
      <c r="G204" s="10"/>
      <c r="H204" s="11"/>
      <c r="I204" s="11"/>
      <c r="J204" s="12"/>
      <c r="K204" s="13"/>
      <c r="L204" s="13"/>
      <c r="M204" s="10"/>
    </row>
    <row r="205" spans="1:13" x14ac:dyDescent="0.25">
      <c r="A205" s="10" t="s">
        <v>444</v>
      </c>
      <c r="B205" s="10" t="s">
        <v>445</v>
      </c>
      <c r="C205" s="10" t="s">
        <v>440</v>
      </c>
      <c r="D205" s="10" t="s">
        <v>443</v>
      </c>
      <c r="E205" s="10" t="s">
        <v>1</v>
      </c>
      <c r="F205" s="10"/>
      <c r="G205" s="10"/>
      <c r="H205" s="11"/>
      <c r="I205" s="11"/>
      <c r="J205" s="12"/>
      <c r="K205" s="13"/>
      <c r="L205" s="13"/>
      <c r="M205" s="10"/>
    </row>
    <row r="206" spans="1:13" x14ac:dyDescent="0.25">
      <c r="A206" s="10" t="s">
        <v>446</v>
      </c>
      <c r="B206" s="10" t="s">
        <v>447</v>
      </c>
      <c r="C206" s="10" t="s">
        <v>440</v>
      </c>
      <c r="D206" s="10" t="s">
        <v>444</v>
      </c>
      <c r="E206" s="10" t="s">
        <v>1</v>
      </c>
      <c r="F206" s="10"/>
      <c r="G206" s="10"/>
      <c r="H206" s="11"/>
      <c r="I206" s="11"/>
      <c r="J206" s="12"/>
      <c r="K206" s="13"/>
      <c r="L206" s="13"/>
      <c r="M206" s="10"/>
    </row>
    <row r="207" spans="1:13" x14ac:dyDescent="0.25">
      <c r="A207" s="6" t="s">
        <v>448</v>
      </c>
      <c r="B207" s="6" t="s">
        <v>449</v>
      </c>
      <c r="C207" s="6" t="s">
        <v>430</v>
      </c>
      <c r="D207" s="6" t="s">
        <v>226</v>
      </c>
      <c r="E207" s="6" t="s">
        <v>18</v>
      </c>
      <c r="F207" s="6"/>
      <c r="G207" s="6"/>
      <c r="H207" s="7"/>
      <c r="I207" s="7"/>
      <c r="J207" s="8"/>
      <c r="K207" s="9"/>
      <c r="L207" s="9"/>
      <c r="M207" s="6"/>
    </row>
    <row r="208" spans="1:13" x14ac:dyDescent="0.25">
      <c r="A208" s="10" t="s">
        <v>450</v>
      </c>
      <c r="B208" s="10" t="s">
        <v>451</v>
      </c>
      <c r="C208" s="10" t="s">
        <v>448</v>
      </c>
      <c r="D208" s="10" t="s">
        <v>226</v>
      </c>
      <c r="E208" s="10" t="s">
        <v>1</v>
      </c>
      <c r="F208" s="10"/>
      <c r="G208" s="10"/>
      <c r="H208" s="11"/>
      <c r="I208" s="11"/>
      <c r="J208" s="12"/>
      <c r="K208" s="13"/>
      <c r="L208" s="13"/>
      <c r="M208" s="10"/>
    </row>
    <row r="209" spans="1:13" x14ac:dyDescent="0.25">
      <c r="A209" s="10" t="s">
        <v>452</v>
      </c>
      <c r="B209" s="10" t="s">
        <v>453</v>
      </c>
      <c r="C209" s="10" t="s">
        <v>448</v>
      </c>
      <c r="D209" s="10" t="s">
        <v>450</v>
      </c>
      <c r="E209" s="10" t="s">
        <v>1</v>
      </c>
      <c r="F209" s="10"/>
      <c r="G209" s="10"/>
      <c r="H209" s="11"/>
      <c r="I209" s="11"/>
      <c r="J209" s="12"/>
      <c r="K209" s="13"/>
      <c r="L209" s="13"/>
      <c r="M209" s="10"/>
    </row>
    <row r="210" spans="1:13" x14ac:dyDescent="0.25">
      <c r="A210" s="10" t="s">
        <v>454</v>
      </c>
      <c r="B210" s="10" t="s">
        <v>455</v>
      </c>
      <c r="C210" s="10" t="s">
        <v>448</v>
      </c>
      <c r="D210" s="10" t="s">
        <v>452</v>
      </c>
      <c r="E210" s="10" t="s">
        <v>1</v>
      </c>
      <c r="F210" s="10"/>
      <c r="G210" s="10"/>
      <c r="H210" s="11"/>
      <c r="I210" s="11"/>
      <c r="J210" s="12"/>
      <c r="K210" s="13"/>
      <c r="L210" s="13"/>
      <c r="M210" s="10"/>
    </row>
    <row r="211" spans="1:13" x14ac:dyDescent="0.25">
      <c r="A211" s="10" t="s">
        <v>456</v>
      </c>
      <c r="B211" s="10" t="s">
        <v>223</v>
      </c>
      <c r="C211" s="10" t="s">
        <v>448</v>
      </c>
      <c r="D211" s="10" t="s">
        <v>454</v>
      </c>
      <c r="E211" s="10" t="s">
        <v>1</v>
      </c>
      <c r="F211" s="10"/>
      <c r="G211" s="10"/>
      <c r="H211" s="11"/>
      <c r="I211" s="11"/>
      <c r="J211" s="12"/>
      <c r="K211" s="13"/>
      <c r="L211" s="13"/>
      <c r="M211" s="10"/>
    </row>
    <row r="212" spans="1:13" x14ac:dyDescent="0.25">
      <c r="A212" s="10" t="s">
        <v>457</v>
      </c>
      <c r="B212" s="10" t="s">
        <v>458</v>
      </c>
      <c r="C212" s="10" t="s">
        <v>448</v>
      </c>
      <c r="D212" s="10" t="s">
        <v>456</v>
      </c>
      <c r="E212" s="10" t="s">
        <v>1</v>
      </c>
      <c r="F212" s="10"/>
      <c r="G212" s="10"/>
      <c r="H212" s="11"/>
      <c r="I212" s="11"/>
      <c r="J212" s="12"/>
      <c r="K212" s="13"/>
      <c r="L212" s="13"/>
      <c r="M212" s="10"/>
    </row>
    <row r="213" spans="1:13" x14ac:dyDescent="0.25">
      <c r="A213" s="2" t="s">
        <v>459</v>
      </c>
      <c r="B213" s="2" t="s">
        <v>460</v>
      </c>
      <c r="C213" s="2"/>
      <c r="D213" s="2"/>
      <c r="E213" s="2" t="s">
        <v>15</v>
      </c>
      <c r="F213" s="2"/>
      <c r="G213" s="2"/>
      <c r="H213" s="3"/>
      <c r="I213" s="3"/>
      <c r="J213" s="4"/>
      <c r="K213" s="5"/>
      <c r="L213" s="5"/>
      <c r="M213" s="2"/>
    </row>
    <row r="214" spans="1:13" x14ac:dyDescent="0.25">
      <c r="A214" s="6" t="s">
        <v>461</v>
      </c>
      <c r="B214" s="6" t="s">
        <v>462</v>
      </c>
      <c r="C214" s="6" t="s">
        <v>459</v>
      </c>
      <c r="D214" s="6" t="s">
        <v>58</v>
      </c>
      <c r="E214" s="6" t="s">
        <v>18</v>
      </c>
      <c r="F214" s="6"/>
      <c r="G214" s="6"/>
      <c r="H214" s="7"/>
      <c r="I214" s="7"/>
      <c r="J214" s="8"/>
      <c r="K214" s="9"/>
      <c r="L214" s="9"/>
      <c r="M214" s="6"/>
    </row>
    <row r="215" spans="1:13" x14ac:dyDescent="0.25">
      <c r="A215" s="10" t="s">
        <v>463</v>
      </c>
      <c r="B215" s="10" t="s">
        <v>464</v>
      </c>
      <c r="C215" s="10" t="s">
        <v>461</v>
      </c>
      <c r="D215" s="10" t="s">
        <v>461</v>
      </c>
      <c r="E215" s="10" t="s">
        <v>1</v>
      </c>
      <c r="F215" s="10"/>
      <c r="G215" s="10"/>
      <c r="H215" s="11"/>
      <c r="I215" s="11"/>
      <c r="J215" s="12"/>
      <c r="K215" s="13"/>
      <c r="L215" s="13"/>
      <c r="M215" s="10"/>
    </row>
    <row r="216" spans="1:13" x14ac:dyDescent="0.25">
      <c r="A216" s="10" t="s">
        <v>465</v>
      </c>
      <c r="B216" s="10" t="s">
        <v>466</v>
      </c>
      <c r="C216" s="10" t="s">
        <v>461</v>
      </c>
      <c r="D216" s="10" t="s">
        <v>461</v>
      </c>
      <c r="E216" s="10" t="s">
        <v>1</v>
      </c>
      <c r="F216" s="10"/>
      <c r="G216" s="10"/>
      <c r="H216" s="11"/>
      <c r="I216" s="11"/>
      <c r="J216" s="12"/>
      <c r="K216" s="13"/>
      <c r="L216" s="13"/>
      <c r="M216" s="10"/>
    </row>
    <row r="217" spans="1:13" x14ac:dyDescent="0.25">
      <c r="A217" s="10" t="s">
        <v>467</v>
      </c>
      <c r="B217" s="10" t="s">
        <v>468</v>
      </c>
      <c r="C217" s="10" t="s">
        <v>461</v>
      </c>
      <c r="D217" s="10" t="s">
        <v>465</v>
      </c>
      <c r="E217" s="10" t="s">
        <v>1</v>
      </c>
      <c r="F217" s="10"/>
      <c r="G217" s="10"/>
      <c r="H217" s="11"/>
      <c r="I217" s="11"/>
      <c r="J217" s="12"/>
      <c r="K217" s="13"/>
      <c r="L217" s="13"/>
      <c r="M217" s="10"/>
    </row>
    <row r="218" spans="1:13" x14ac:dyDescent="0.25">
      <c r="A218" s="10" t="s">
        <v>469</v>
      </c>
      <c r="B218" s="10" t="s">
        <v>470</v>
      </c>
      <c r="C218" s="10" t="s">
        <v>461</v>
      </c>
      <c r="D218" s="10" t="s">
        <v>465</v>
      </c>
      <c r="E218" s="10" t="s">
        <v>1</v>
      </c>
      <c r="F218" s="10"/>
      <c r="G218" s="10"/>
      <c r="H218" s="11"/>
      <c r="I218" s="11"/>
      <c r="J218" s="12"/>
      <c r="K218" s="13"/>
      <c r="L218" s="13"/>
      <c r="M218" s="10"/>
    </row>
    <row r="219" spans="1:13" x14ac:dyDescent="0.25">
      <c r="A219" s="10" t="s">
        <v>471</v>
      </c>
      <c r="B219" s="10" t="s">
        <v>472</v>
      </c>
      <c r="C219" s="10" t="s">
        <v>461</v>
      </c>
      <c r="D219" s="10" t="s">
        <v>473</v>
      </c>
      <c r="E219" s="10" t="s">
        <v>1</v>
      </c>
      <c r="F219" s="10"/>
      <c r="G219" s="10"/>
      <c r="H219" s="11"/>
      <c r="I219" s="11"/>
      <c r="J219" s="12"/>
      <c r="K219" s="13"/>
      <c r="L219" s="13"/>
      <c r="M219" s="10"/>
    </row>
    <row r="220" spans="1:13" x14ac:dyDescent="0.25">
      <c r="A220" s="6" t="s">
        <v>474</v>
      </c>
      <c r="B220" s="6" t="s">
        <v>475</v>
      </c>
      <c r="C220" s="6" t="s">
        <v>459</v>
      </c>
      <c r="D220" s="6" t="s">
        <v>58</v>
      </c>
      <c r="E220" s="6" t="s">
        <v>18</v>
      </c>
      <c r="F220" s="6"/>
      <c r="G220" s="6"/>
      <c r="H220" s="7"/>
      <c r="I220" s="7"/>
      <c r="J220" s="8"/>
      <c r="K220" s="9"/>
      <c r="L220" s="9"/>
      <c r="M220" s="6"/>
    </row>
    <row r="221" spans="1:13" x14ac:dyDescent="0.25">
      <c r="A221" s="10" t="s">
        <v>476</v>
      </c>
      <c r="B221" s="10" t="s">
        <v>477</v>
      </c>
      <c r="C221" s="10" t="s">
        <v>474</v>
      </c>
      <c r="D221" s="10" t="s">
        <v>58</v>
      </c>
      <c r="E221" s="10" t="s">
        <v>1</v>
      </c>
      <c r="F221" s="10"/>
      <c r="G221" s="10"/>
      <c r="H221" s="11"/>
      <c r="I221" s="11"/>
      <c r="J221" s="12"/>
      <c r="K221" s="13"/>
      <c r="L221" s="13"/>
      <c r="M221" s="10"/>
    </row>
    <row r="222" spans="1:13" x14ac:dyDescent="0.25">
      <c r="A222" s="10" t="s">
        <v>478</v>
      </c>
      <c r="B222" s="10" t="s">
        <v>479</v>
      </c>
      <c r="C222" s="10" t="s">
        <v>474</v>
      </c>
      <c r="D222" s="10" t="s">
        <v>476</v>
      </c>
      <c r="E222" s="10" t="s">
        <v>1</v>
      </c>
      <c r="F222" s="10"/>
      <c r="G222" s="10"/>
      <c r="H222" s="11"/>
      <c r="I222" s="11"/>
      <c r="J222" s="12"/>
      <c r="K222" s="13"/>
      <c r="L222" s="13"/>
      <c r="M222" s="10"/>
    </row>
    <row r="223" spans="1:13" x14ac:dyDescent="0.25">
      <c r="A223" s="10" t="s">
        <v>480</v>
      </c>
      <c r="B223" s="10" t="s">
        <v>481</v>
      </c>
      <c r="C223" s="10" t="s">
        <v>474</v>
      </c>
      <c r="D223" s="10" t="s">
        <v>476</v>
      </c>
      <c r="E223" s="10" t="s">
        <v>1</v>
      </c>
      <c r="F223" s="10"/>
      <c r="G223" s="10"/>
      <c r="H223" s="11"/>
      <c r="I223" s="11"/>
      <c r="J223" s="12"/>
      <c r="K223" s="13"/>
      <c r="L223" s="13"/>
      <c r="M223" s="10"/>
    </row>
    <row r="224" spans="1:13" x14ac:dyDescent="0.25">
      <c r="A224" s="10" t="s">
        <v>482</v>
      </c>
      <c r="B224" s="10" t="s">
        <v>483</v>
      </c>
      <c r="C224" s="10" t="s">
        <v>474</v>
      </c>
      <c r="D224" s="10" t="s">
        <v>476</v>
      </c>
      <c r="E224" s="10" t="s">
        <v>1</v>
      </c>
      <c r="F224" s="10"/>
      <c r="G224" s="10"/>
      <c r="H224" s="11"/>
      <c r="I224" s="11"/>
      <c r="J224" s="12"/>
      <c r="K224" s="13"/>
      <c r="L224" s="13"/>
      <c r="M224" s="10"/>
    </row>
    <row r="225" spans="1:13" x14ac:dyDescent="0.25">
      <c r="A225" s="6" t="s">
        <v>484</v>
      </c>
      <c r="B225" s="6" t="s">
        <v>485</v>
      </c>
      <c r="C225" s="6" t="s">
        <v>459</v>
      </c>
      <c r="D225" s="6" t="s">
        <v>257</v>
      </c>
      <c r="E225" s="6" t="s">
        <v>18</v>
      </c>
      <c r="F225" s="6"/>
      <c r="G225" s="6"/>
      <c r="H225" s="7"/>
      <c r="I225" s="7"/>
      <c r="J225" s="8"/>
      <c r="K225" s="9"/>
      <c r="L225" s="9"/>
      <c r="M225" s="6"/>
    </row>
    <row r="226" spans="1:13" x14ac:dyDescent="0.25">
      <c r="A226" s="10" t="s">
        <v>486</v>
      </c>
      <c r="B226" s="10" t="s">
        <v>258</v>
      </c>
      <c r="C226" s="10" t="s">
        <v>484</v>
      </c>
      <c r="D226" s="10" t="s">
        <v>257</v>
      </c>
      <c r="E226" s="10" t="s">
        <v>1</v>
      </c>
      <c r="F226" s="10"/>
      <c r="G226" s="10"/>
      <c r="H226" s="11"/>
      <c r="I226" s="11"/>
      <c r="J226" s="12"/>
      <c r="K226" s="13"/>
      <c r="L226" s="13"/>
      <c r="M226" s="10"/>
    </row>
    <row r="227" spans="1:13" x14ac:dyDescent="0.25">
      <c r="A227" s="10" t="s">
        <v>487</v>
      </c>
      <c r="B227" s="10" t="s">
        <v>472</v>
      </c>
      <c r="C227" s="10" t="s">
        <v>484</v>
      </c>
      <c r="D227" s="10" t="s">
        <v>486</v>
      </c>
      <c r="E227" s="10" t="s">
        <v>1</v>
      </c>
      <c r="F227" s="10"/>
      <c r="G227" s="10"/>
      <c r="H227" s="11"/>
      <c r="I227" s="11"/>
      <c r="J227" s="12"/>
      <c r="K227" s="13"/>
      <c r="L227" s="13"/>
      <c r="M227" s="10"/>
    </row>
    <row r="228" spans="1:13" x14ac:dyDescent="0.25">
      <c r="A228" s="10" t="s">
        <v>488</v>
      </c>
      <c r="B228" s="10" t="s">
        <v>405</v>
      </c>
      <c r="C228" s="10" t="s">
        <v>484</v>
      </c>
      <c r="D228" s="10" t="s">
        <v>404</v>
      </c>
      <c r="E228" s="10" t="s">
        <v>1</v>
      </c>
      <c r="F228" s="10"/>
      <c r="G228" s="10"/>
      <c r="H228" s="11"/>
      <c r="I228" s="11"/>
      <c r="J228" s="12"/>
      <c r="K228" s="13"/>
      <c r="L228" s="13"/>
      <c r="M228" s="10"/>
    </row>
    <row r="229" spans="1:13" x14ac:dyDescent="0.25">
      <c r="A229" s="10" t="s">
        <v>489</v>
      </c>
      <c r="B229" s="10" t="s">
        <v>490</v>
      </c>
      <c r="C229" s="10" t="s">
        <v>484</v>
      </c>
      <c r="D229" s="10" t="s">
        <v>487</v>
      </c>
      <c r="E229" s="10" t="s">
        <v>1</v>
      </c>
      <c r="F229" s="10"/>
      <c r="G229" s="10"/>
      <c r="H229" s="11"/>
      <c r="I229" s="11"/>
      <c r="J229" s="12"/>
      <c r="K229" s="13"/>
      <c r="L229" s="13"/>
      <c r="M229" s="10"/>
    </row>
    <row r="230" spans="1:13" x14ac:dyDescent="0.25">
      <c r="A230" s="6" t="s">
        <v>491</v>
      </c>
      <c r="B230" s="6" t="s">
        <v>492</v>
      </c>
      <c r="C230" s="6" t="s">
        <v>459</v>
      </c>
      <c r="D230" s="6" t="s">
        <v>493</v>
      </c>
      <c r="E230" s="6" t="s">
        <v>18</v>
      </c>
      <c r="F230" s="6"/>
      <c r="G230" s="6"/>
      <c r="H230" s="7"/>
      <c r="I230" s="7"/>
      <c r="J230" s="8"/>
      <c r="K230" s="9"/>
      <c r="L230" s="9"/>
      <c r="M230" s="6"/>
    </row>
    <row r="231" spans="1:13" x14ac:dyDescent="0.25">
      <c r="A231" s="10" t="s">
        <v>494</v>
      </c>
      <c r="B231" s="10" t="s">
        <v>447</v>
      </c>
      <c r="C231" s="10" t="s">
        <v>491</v>
      </c>
      <c r="D231" s="10" t="s">
        <v>493</v>
      </c>
      <c r="E231" s="10" t="s">
        <v>1</v>
      </c>
      <c r="F231" s="10"/>
      <c r="G231" s="10"/>
      <c r="H231" s="11"/>
      <c r="I231" s="11"/>
      <c r="J231" s="12"/>
      <c r="K231" s="13"/>
      <c r="L231" s="13"/>
      <c r="M231" s="10"/>
    </row>
    <row r="232" spans="1:13" x14ac:dyDescent="0.25">
      <c r="A232" s="10" t="s">
        <v>495</v>
      </c>
      <c r="B232" s="10" t="s">
        <v>496</v>
      </c>
      <c r="C232" s="10" t="s">
        <v>491</v>
      </c>
      <c r="D232" s="10" t="s">
        <v>494</v>
      </c>
      <c r="E232" s="10" t="s">
        <v>1</v>
      </c>
      <c r="F232" s="10"/>
      <c r="G232" s="10"/>
      <c r="H232" s="11"/>
      <c r="I232" s="11"/>
      <c r="J232" s="12"/>
      <c r="K232" s="13"/>
      <c r="L232" s="13"/>
      <c r="M232" s="10"/>
    </row>
    <row r="233" spans="1:13" x14ac:dyDescent="0.25">
      <c r="A233" s="10" t="s">
        <v>497</v>
      </c>
      <c r="B233" s="10" t="s">
        <v>498</v>
      </c>
      <c r="C233" s="10" t="s">
        <v>491</v>
      </c>
      <c r="D233" s="10" t="s">
        <v>495</v>
      </c>
      <c r="E233" s="10" t="s">
        <v>1</v>
      </c>
      <c r="F233" s="10"/>
      <c r="G233" s="10"/>
      <c r="H233" s="11"/>
      <c r="I233" s="11"/>
      <c r="J233" s="12"/>
      <c r="K233" s="13"/>
      <c r="L233" s="13"/>
      <c r="M233" s="10"/>
    </row>
    <row r="234" spans="1:13" x14ac:dyDescent="0.25">
      <c r="A234" s="10" t="s">
        <v>499</v>
      </c>
      <c r="B234" s="10" t="s">
        <v>500</v>
      </c>
      <c r="C234" s="10" t="s">
        <v>491</v>
      </c>
      <c r="D234" s="10" t="s">
        <v>497</v>
      </c>
      <c r="E234" s="10" t="s">
        <v>60</v>
      </c>
      <c r="F234" s="10"/>
      <c r="G234" s="10"/>
      <c r="H234" s="11"/>
      <c r="I234" s="11"/>
      <c r="J234" s="12"/>
      <c r="K234" s="13"/>
      <c r="L234" s="13"/>
      <c r="M234" s="10"/>
    </row>
    <row r="235" spans="1:13" x14ac:dyDescent="0.25">
      <c r="A235" s="2" t="s">
        <v>501</v>
      </c>
      <c r="B235" s="2" t="s">
        <v>502</v>
      </c>
      <c r="C235" s="2"/>
      <c r="D235" s="2"/>
      <c r="E235" s="2" t="s">
        <v>15</v>
      </c>
      <c r="F235" s="2"/>
      <c r="G235" s="2"/>
      <c r="H235" s="3"/>
      <c r="I235" s="3"/>
      <c r="J235" s="4"/>
      <c r="K235" s="5"/>
      <c r="L235" s="5"/>
      <c r="M235" s="2"/>
    </row>
    <row r="236" spans="1:13" x14ac:dyDescent="0.25">
      <c r="A236" s="6" t="s">
        <v>503</v>
      </c>
      <c r="B236" s="6" t="s">
        <v>504</v>
      </c>
      <c r="C236" s="6" t="s">
        <v>501</v>
      </c>
      <c r="D236" s="6" t="s">
        <v>107</v>
      </c>
      <c r="E236" s="6" t="s">
        <v>18</v>
      </c>
      <c r="F236" s="6"/>
      <c r="G236" s="6"/>
      <c r="H236" s="7"/>
      <c r="I236" s="7"/>
      <c r="J236" s="8"/>
      <c r="K236" s="9"/>
      <c r="L236" s="9"/>
      <c r="M236" s="6"/>
    </row>
    <row r="237" spans="1:13" x14ac:dyDescent="0.25">
      <c r="A237" s="10" t="s">
        <v>505</v>
      </c>
      <c r="B237" s="10" t="s">
        <v>506</v>
      </c>
      <c r="C237" s="10" t="s">
        <v>503</v>
      </c>
      <c r="D237" s="10" t="s">
        <v>107</v>
      </c>
      <c r="E237" s="10" t="s">
        <v>1</v>
      </c>
      <c r="F237" s="10"/>
      <c r="G237" s="10"/>
      <c r="H237" s="11"/>
      <c r="I237" s="11"/>
      <c r="J237" s="12"/>
      <c r="K237" s="13"/>
      <c r="L237" s="13"/>
      <c r="M237" s="10"/>
    </row>
    <row r="238" spans="1:13" x14ac:dyDescent="0.25">
      <c r="A238" s="10" t="s">
        <v>507</v>
      </c>
      <c r="B238" s="10" t="s">
        <v>105</v>
      </c>
      <c r="C238" s="10" t="s">
        <v>503</v>
      </c>
      <c r="D238" s="10" t="s">
        <v>505</v>
      </c>
      <c r="E238" s="10" t="s">
        <v>1</v>
      </c>
      <c r="F238" s="10"/>
      <c r="G238" s="10"/>
      <c r="H238" s="11"/>
      <c r="I238" s="11"/>
      <c r="J238" s="12"/>
      <c r="K238" s="13"/>
      <c r="L238" s="13"/>
      <c r="M238" s="10"/>
    </row>
    <row r="239" spans="1:13" x14ac:dyDescent="0.25">
      <c r="A239" s="10" t="s">
        <v>508</v>
      </c>
      <c r="B239" s="10" t="s">
        <v>106</v>
      </c>
      <c r="C239" s="10" t="s">
        <v>503</v>
      </c>
      <c r="D239" s="10" t="s">
        <v>507</v>
      </c>
      <c r="E239" s="10" t="s">
        <v>1</v>
      </c>
      <c r="F239" s="10"/>
      <c r="G239" s="10"/>
      <c r="H239" s="11"/>
      <c r="I239" s="11"/>
      <c r="J239" s="12"/>
      <c r="K239" s="13"/>
      <c r="L239" s="13"/>
      <c r="M239" s="10"/>
    </row>
    <row r="240" spans="1:13" x14ac:dyDescent="0.25">
      <c r="A240" s="10" t="s">
        <v>509</v>
      </c>
      <c r="B240" s="10" t="s">
        <v>504</v>
      </c>
      <c r="C240" s="10" t="s">
        <v>503</v>
      </c>
      <c r="D240" s="10" t="s">
        <v>508</v>
      </c>
      <c r="E240" s="10" t="s">
        <v>1</v>
      </c>
      <c r="F240" s="10"/>
      <c r="G240" s="10"/>
      <c r="H240" s="11"/>
      <c r="I240" s="11"/>
      <c r="J240" s="12"/>
      <c r="K240" s="13"/>
      <c r="L240" s="13"/>
      <c r="M240" s="10"/>
    </row>
    <row r="241" spans="1:13" x14ac:dyDescent="0.25">
      <c r="A241" s="10" t="s">
        <v>510</v>
      </c>
      <c r="B241" s="10" t="s">
        <v>511</v>
      </c>
      <c r="C241" s="10" t="s">
        <v>503</v>
      </c>
      <c r="D241" s="10" t="s">
        <v>508</v>
      </c>
      <c r="E241" s="10" t="s">
        <v>1</v>
      </c>
      <c r="F241" s="10"/>
      <c r="G241" s="10"/>
      <c r="H241" s="11"/>
      <c r="I241" s="11"/>
      <c r="J241" s="12"/>
      <c r="K241" s="13"/>
      <c r="L241" s="13"/>
      <c r="M241" s="10"/>
    </row>
    <row r="242" spans="1:13" x14ac:dyDescent="0.25">
      <c r="A242" s="10" t="s">
        <v>512</v>
      </c>
      <c r="B242" s="10" t="s">
        <v>513</v>
      </c>
      <c r="C242" s="10" t="s">
        <v>503</v>
      </c>
      <c r="D242" s="10" t="s">
        <v>509</v>
      </c>
      <c r="E242" s="10" t="s">
        <v>1</v>
      </c>
      <c r="F242" s="10"/>
      <c r="G242" s="10"/>
      <c r="H242" s="11"/>
      <c r="I242" s="11"/>
      <c r="J242" s="12"/>
      <c r="K242" s="13"/>
      <c r="L242" s="13"/>
      <c r="M242" s="10"/>
    </row>
    <row r="243" spans="1:13" x14ac:dyDescent="0.25">
      <c r="A243" s="6" t="s">
        <v>514</v>
      </c>
      <c r="B243" s="6" t="s">
        <v>515</v>
      </c>
      <c r="C243" s="6" t="s">
        <v>501</v>
      </c>
      <c r="D243" s="6" t="s">
        <v>509</v>
      </c>
      <c r="E243" s="6" t="s">
        <v>18</v>
      </c>
      <c r="F243" s="6"/>
      <c r="G243" s="6"/>
      <c r="H243" s="7"/>
      <c r="I243" s="7"/>
      <c r="J243" s="8"/>
      <c r="K243" s="9"/>
      <c r="L243" s="9"/>
      <c r="M243" s="6"/>
    </row>
    <row r="244" spans="1:13" x14ac:dyDescent="0.25">
      <c r="A244" s="10" t="s">
        <v>516</v>
      </c>
      <c r="B244" s="10" t="s">
        <v>517</v>
      </c>
      <c r="C244" s="10" t="s">
        <v>514</v>
      </c>
      <c r="D244" s="10" t="s">
        <v>509</v>
      </c>
      <c r="E244" s="10" t="s">
        <v>1</v>
      </c>
      <c r="F244" s="10"/>
      <c r="G244" s="10"/>
      <c r="H244" s="11"/>
      <c r="I244" s="11"/>
      <c r="J244" s="12"/>
      <c r="K244" s="13"/>
      <c r="L244" s="13"/>
      <c r="M244" s="10"/>
    </row>
    <row r="245" spans="1:13" x14ac:dyDescent="0.25">
      <c r="A245" s="10" t="s">
        <v>518</v>
      </c>
      <c r="B245" s="10" t="s">
        <v>519</v>
      </c>
      <c r="C245" s="10" t="s">
        <v>514</v>
      </c>
      <c r="D245" s="10" t="s">
        <v>509</v>
      </c>
      <c r="E245" s="10" t="s">
        <v>1</v>
      </c>
      <c r="F245" s="10"/>
      <c r="G245" s="10"/>
      <c r="H245" s="11"/>
      <c r="I245" s="11"/>
      <c r="J245" s="12"/>
      <c r="K245" s="13"/>
      <c r="L245" s="13"/>
      <c r="M245" s="10"/>
    </row>
    <row r="246" spans="1:13" x14ac:dyDescent="0.25">
      <c r="A246" s="10" t="s">
        <v>520</v>
      </c>
      <c r="B246" s="10" t="s">
        <v>521</v>
      </c>
      <c r="C246" s="10" t="s">
        <v>514</v>
      </c>
      <c r="D246" s="10" t="s">
        <v>516</v>
      </c>
      <c r="E246" s="10" t="s">
        <v>1</v>
      </c>
      <c r="F246" s="10"/>
      <c r="G246" s="10"/>
      <c r="H246" s="11"/>
      <c r="I246" s="11"/>
      <c r="J246" s="12"/>
      <c r="K246" s="13"/>
      <c r="L246" s="13"/>
      <c r="M246" s="10"/>
    </row>
    <row r="247" spans="1:13" x14ac:dyDescent="0.25">
      <c r="A247" s="10" t="s">
        <v>522</v>
      </c>
      <c r="B247" s="10" t="s">
        <v>523</v>
      </c>
      <c r="C247" s="10" t="s">
        <v>514</v>
      </c>
      <c r="D247" s="10" t="s">
        <v>520</v>
      </c>
      <c r="E247" s="10" t="s">
        <v>1</v>
      </c>
      <c r="F247" s="10"/>
      <c r="G247" s="10"/>
      <c r="H247" s="11"/>
      <c r="I247" s="11"/>
      <c r="J247" s="12"/>
      <c r="K247" s="13"/>
      <c r="L247" s="13"/>
      <c r="M247" s="10"/>
    </row>
    <row r="248" spans="1:13" x14ac:dyDescent="0.25">
      <c r="A248" s="10" t="s">
        <v>524</v>
      </c>
      <c r="B248" s="10" t="s">
        <v>253</v>
      </c>
      <c r="C248" s="10" t="s">
        <v>514</v>
      </c>
      <c r="D248" s="10" t="s">
        <v>522</v>
      </c>
      <c r="E248" s="10" t="s">
        <v>1</v>
      </c>
      <c r="F248" s="10"/>
      <c r="G248" s="10"/>
      <c r="H248" s="11"/>
      <c r="I248" s="11"/>
      <c r="J248" s="12"/>
      <c r="K248" s="13"/>
      <c r="L248" s="13"/>
      <c r="M248" s="10"/>
    </row>
    <row r="249" spans="1:13" x14ac:dyDescent="0.25">
      <c r="A249" s="6" t="s">
        <v>525</v>
      </c>
      <c r="B249" s="6" t="s">
        <v>526</v>
      </c>
      <c r="C249" s="6" t="s">
        <v>501</v>
      </c>
      <c r="D249" s="6" t="s">
        <v>457</v>
      </c>
      <c r="E249" s="6" t="s">
        <v>18</v>
      </c>
      <c r="F249" s="6"/>
      <c r="G249" s="6"/>
      <c r="H249" s="7"/>
      <c r="I249" s="7"/>
      <c r="J249" s="8"/>
      <c r="K249" s="9"/>
      <c r="L249" s="9"/>
      <c r="M249" s="6"/>
    </row>
    <row r="250" spans="1:13" x14ac:dyDescent="0.25">
      <c r="A250" s="10" t="s">
        <v>527</v>
      </c>
      <c r="B250" s="10" t="s">
        <v>451</v>
      </c>
      <c r="C250" s="10" t="s">
        <v>525</v>
      </c>
      <c r="D250" s="10" t="s">
        <v>457</v>
      </c>
      <c r="E250" s="10" t="s">
        <v>1</v>
      </c>
      <c r="F250" s="10"/>
      <c r="G250" s="10"/>
      <c r="H250" s="11"/>
      <c r="I250" s="11"/>
      <c r="J250" s="12"/>
      <c r="K250" s="13"/>
      <c r="L250" s="13"/>
      <c r="M250" s="10"/>
    </row>
    <row r="251" spans="1:13" x14ac:dyDescent="0.25">
      <c r="A251" s="10" t="s">
        <v>528</v>
      </c>
      <c r="B251" s="10" t="s">
        <v>529</v>
      </c>
      <c r="C251" s="10" t="s">
        <v>525</v>
      </c>
      <c r="D251" s="10" t="s">
        <v>527</v>
      </c>
      <c r="E251" s="10" t="s">
        <v>1</v>
      </c>
      <c r="F251" s="10"/>
      <c r="G251" s="10"/>
      <c r="H251" s="11"/>
      <c r="I251" s="11"/>
      <c r="J251" s="12"/>
      <c r="K251" s="13"/>
      <c r="L251" s="13"/>
      <c r="M251" s="10"/>
    </row>
    <row r="252" spans="1:13" x14ac:dyDescent="0.25">
      <c r="A252" s="10" t="s">
        <v>530</v>
      </c>
      <c r="B252" s="10" t="s">
        <v>455</v>
      </c>
      <c r="C252" s="10" t="s">
        <v>525</v>
      </c>
      <c r="D252" s="10" t="s">
        <v>528</v>
      </c>
      <c r="E252" s="10" t="s">
        <v>1</v>
      </c>
      <c r="F252" s="10"/>
      <c r="G252" s="10"/>
      <c r="H252" s="11"/>
      <c r="I252" s="11"/>
      <c r="J252" s="12"/>
      <c r="K252" s="13"/>
      <c r="L252" s="13"/>
      <c r="M252" s="10"/>
    </row>
    <row r="253" spans="1:13" x14ac:dyDescent="0.25">
      <c r="A253" s="10" t="s">
        <v>531</v>
      </c>
      <c r="B253" s="10" t="s">
        <v>223</v>
      </c>
      <c r="C253" s="10" t="s">
        <v>525</v>
      </c>
      <c r="D253" s="10" t="s">
        <v>530</v>
      </c>
      <c r="E253" s="10" t="s">
        <v>1</v>
      </c>
      <c r="F253" s="10"/>
      <c r="G253" s="10"/>
      <c r="H253" s="11"/>
      <c r="I253" s="11"/>
      <c r="J253" s="12"/>
      <c r="K253" s="13"/>
      <c r="L253" s="13"/>
      <c r="M253" s="10"/>
    </row>
    <row r="254" spans="1:13" x14ac:dyDescent="0.25">
      <c r="A254" s="10" t="s">
        <v>532</v>
      </c>
      <c r="B254" s="10" t="s">
        <v>458</v>
      </c>
      <c r="C254" s="10" t="s">
        <v>525</v>
      </c>
      <c r="D254" s="10" t="s">
        <v>531</v>
      </c>
      <c r="E254" s="10" t="s">
        <v>1</v>
      </c>
      <c r="F254" s="10"/>
      <c r="G254" s="10"/>
      <c r="H254" s="11"/>
      <c r="I254" s="11"/>
      <c r="J254" s="12"/>
      <c r="K254" s="13"/>
      <c r="L254" s="13"/>
      <c r="M254" s="10"/>
    </row>
    <row r="255" spans="1:13" x14ac:dyDescent="0.25">
      <c r="A255" s="2" t="s">
        <v>533</v>
      </c>
      <c r="B255" s="2" t="s">
        <v>534</v>
      </c>
      <c r="C255" s="2"/>
      <c r="D255" s="2"/>
      <c r="E255" s="2" t="s">
        <v>15</v>
      </c>
      <c r="F255" s="2"/>
      <c r="G255" s="2"/>
      <c r="H255" s="3"/>
      <c r="I255" s="3"/>
      <c r="J255" s="4"/>
      <c r="K255" s="5"/>
      <c r="L255" s="5"/>
      <c r="M255" s="2"/>
    </row>
    <row r="256" spans="1:13" x14ac:dyDescent="0.25">
      <c r="A256" s="6" t="s">
        <v>535</v>
      </c>
      <c r="B256" s="6" t="s">
        <v>536</v>
      </c>
      <c r="C256" s="6" t="s">
        <v>533</v>
      </c>
      <c r="D256" s="6" t="s">
        <v>537</v>
      </c>
      <c r="E256" s="6" t="s">
        <v>18</v>
      </c>
      <c r="F256" s="6"/>
      <c r="G256" s="6"/>
      <c r="H256" s="7"/>
      <c r="I256" s="7"/>
      <c r="J256" s="8"/>
      <c r="K256" s="9"/>
      <c r="L256" s="9"/>
      <c r="M256" s="6"/>
    </row>
    <row r="257" spans="1:13" x14ac:dyDescent="0.25">
      <c r="A257" s="10" t="s">
        <v>538</v>
      </c>
      <c r="B257" s="10" t="s">
        <v>539</v>
      </c>
      <c r="C257" s="10" t="s">
        <v>535</v>
      </c>
      <c r="D257" s="10" t="s">
        <v>524</v>
      </c>
      <c r="E257" s="10" t="s">
        <v>1</v>
      </c>
      <c r="F257" s="10"/>
      <c r="G257" s="10"/>
      <c r="H257" s="11"/>
      <c r="I257" s="11"/>
      <c r="J257" s="12"/>
      <c r="K257" s="13"/>
      <c r="L257" s="13"/>
      <c r="M257" s="10"/>
    </row>
    <row r="258" spans="1:13" x14ac:dyDescent="0.25">
      <c r="A258" s="10" t="s">
        <v>540</v>
      </c>
      <c r="B258" s="10" t="s">
        <v>541</v>
      </c>
      <c r="C258" s="10" t="s">
        <v>535</v>
      </c>
      <c r="D258" s="10" t="s">
        <v>538</v>
      </c>
      <c r="E258" s="10" t="s">
        <v>1</v>
      </c>
      <c r="F258" s="10"/>
      <c r="G258" s="10"/>
      <c r="H258" s="11"/>
      <c r="I258" s="11"/>
      <c r="J258" s="12"/>
      <c r="K258" s="13"/>
      <c r="L258" s="13"/>
      <c r="M258" s="10"/>
    </row>
    <row r="259" spans="1:13" x14ac:dyDescent="0.25">
      <c r="A259" s="10" t="s">
        <v>542</v>
      </c>
      <c r="B259" s="10" t="s">
        <v>543</v>
      </c>
      <c r="C259" s="10" t="s">
        <v>535</v>
      </c>
      <c r="D259" s="10" t="s">
        <v>538</v>
      </c>
      <c r="E259" s="10" t="s">
        <v>1</v>
      </c>
      <c r="F259" s="10"/>
      <c r="G259" s="10"/>
      <c r="H259" s="11"/>
      <c r="I259" s="11"/>
      <c r="J259" s="12"/>
      <c r="K259" s="13"/>
      <c r="L259" s="13"/>
      <c r="M259" s="10"/>
    </row>
    <row r="260" spans="1:13" x14ac:dyDescent="0.25">
      <c r="A260" s="10" t="s">
        <v>544</v>
      </c>
      <c r="B260" s="10" t="s">
        <v>545</v>
      </c>
      <c r="C260" s="10" t="s">
        <v>535</v>
      </c>
      <c r="D260" s="10" t="s">
        <v>542</v>
      </c>
      <c r="E260" s="10" t="s">
        <v>1</v>
      </c>
      <c r="F260" s="10"/>
      <c r="G260" s="10"/>
      <c r="H260" s="11"/>
      <c r="I260" s="11"/>
      <c r="J260" s="12"/>
      <c r="K260" s="13"/>
      <c r="L260" s="13"/>
      <c r="M260" s="10"/>
    </row>
    <row r="261" spans="1:13" x14ac:dyDescent="0.25">
      <c r="A261" s="10" t="s">
        <v>546</v>
      </c>
      <c r="B261" s="10" t="s">
        <v>547</v>
      </c>
      <c r="C261" s="10" t="s">
        <v>535</v>
      </c>
      <c r="D261" s="10" t="s">
        <v>544</v>
      </c>
      <c r="E261" s="10" t="s">
        <v>1</v>
      </c>
      <c r="F261" s="10"/>
      <c r="G261" s="10"/>
      <c r="H261" s="11"/>
      <c r="I261" s="11"/>
      <c r="J261" s="12"/>
      <c r="K261" s="13"/>
      <c r="L261" s="13"/>
      <c r="M261" s="10"/>
    </row>
    <row r="262" spans="1:13" x14ac:dyDescent="0.25">
      <c r="A262" s="10" t="s">
        <v>548</v>
      </c>
      <c r="B262" s="10" t="s">
        <v>549</v>
      </c>
      <c r="C262" s="10" t="s">
        <v>535</v>
      </c>
      <c r="D262" s="10" t="s">
        <v>544</v>
      </c>
      <c r="E262" s="10" t="s">
        <v>1</v>
      </c>
      <c r="F262" s="10"/>
      <c r="G262" s="10"/>
      <c r="H262" s="11"/>
      <c r="I262" s="11"/>
      <c r="J262" s="12"/>
      <c r="K262" s="13"/>
      <c r="L262" s="13"/>
      <c r="M262" s="10"/>
    </row>
    <row r="263" spans="1:13" x14ac:dyDescent="0.25">
      <c r="A263" s="6" t="s">
        <v>550</v>
      </c>
      <c r="B263" s="6" t="s">
        <v>472</v>
      </c>
      <c r="C263" s="6" t="s">
        <v>533</v>
      </c>
      <c r="D263" s="6" t="s">
        <v>548</v>
      </c>
      <c r="E263" s="6" t="s">
        <v>18</v>
      </c>
      <c r="F263" s="6"/>
      <c r="G263" s="6"/>
      <c r="H263" s="7"/>
      <c r="I263" s="7"/>
      <c r="J263" s="8"/>
      <c r="K263" s="9"/>
      <c r="L263" s="9"/>
      <c r="M263" s="6"/>
    </row>
    <row r="264" spans="1:13" x14ac:dyDescent="0.25">
      <c r="A264" s="10" t="s">
        <v>551</v>
      </c>
      <c r="B264" s="10" t="s">
        <v>552</v>
      </c>
      <c r="C264" s="10" t="s">
        <v>550</v>
      </c>
      <c r="D264" s="10" t="s">
        <v>538</v>
      </c>
      <c r="E264" s="10" t="s">
        <v>1</v>
      </c>
      <c r="F264" s="10"/>
      <c r="G264" s="10"/>
      <c r="H264" s="11"/>
      <c r="I264" s="11"/>
      <c r="J264" s="12"/>
      <c r="K264" s="13"/>
      <c r="L264" s="13"/>
      <c r="M264" s="10"/>
    </row>
    <row r="265" spans="1:13" x14ac:dyDescent="0.25">
      <c r="A265" s="10" t="s">
        <v>553</v>
      </c>
      <c r="B265" s="10" t="s">
        <v>554</v>
      </c>
      <c r="C265" s="10" t="s">
        <v>550</v>
      </c>
      <c r="D265" s="10" t="s">
        <v>540</v>
      </c>
      <c r="E265" s="10" t="s">
        <v>1</v>
      </c>
      <c r="F265" s="10"/>
      <c r="G265" s="10"/>
      <c r="H265" s="11"/>
      <c r="I265" s="11"/>
      <c r="J265" s="12"/>
      <c r="K265" s="13"/>
      <c r="L265" s="13"/>
      <c r="M265" s="10"/>
    </row>
    <row r="266" spans="1:13" x14ac:dyDescent="0.25">
      <c r="A266" s="10" t="s">
        <v>555</v>
      </c>
      <c r="B266" s="10" t="s">
        <v>556</v>
      </c>
      <c r="C266" s="10" t="s">
        <v>550</v>
      </c>
      <c r="D266" s="10" t="s">
        <v>553</v>
      </c>
      <c r="E266" s="10" t="s">
        <v>1</v>
      </c>
      <c r="F266" s="10"/>
      <c r="G266" s="10"/>
      <c r="H266" s="11"/>
      <c r="I266" s="11"/>
      <c r="J266" s="12"/>
      <c r="K266" s="13"/>
      <c r="L266" s="13"/>
      <c r="M266" s="10"/>
    </row>
    <row r="267" spans="1:13" x14ac:dyDescent="0.25">
      <c r="A267" s="10" t="s">
        <v>557</v>
      </c>
      <c r="B267" s="10" t="s">
        <v>558</v>
      </c>
      <c r="C267" s="10" t="s">
        <v>550</v>
      </c>
      <c r="D267" s="10" t="s">
        <v>553</v>
      </c>
      <c r="E267" s="10" t="s">
        <v>1</v>
      </c>
      <c r="F267" s="10"/>
      <c r="G267" s="10"/>
      <c r="H267" s="11"/>
      <c r="I267" s="11"/>
      <c r="J267" s="12"/>
      <c r="K267" s="13"/>
      <c r="L267" s="13"/>
      <c r="M267" s="10"/>
    </row>
    <row r="268" spans="1:13" x14ac:dyDescent="0.25">
      <c r="A268" s="10" t="s">
        <v>559</v>
      </c>
      <c r="B268" s="10" t="s">
        <v>560</v>
      </c>
      <c r="C268" s="10" t="s">
        <v>550</v>
      </c>
      <c r="D268" s="10" t="s">
        <v>378</v>
      </c>
      <c r="E268" s="10" t="s">
        <v>1</v>
      </c>
      <c r="F268" s="10"/>
      <c r="G268" s="10"/>
      <c r="H268" s="11"/>
      <c r="I268" s="11"/>
      <c r="J268" s="12"/>
      <c r="K268" s="13"/>
      <c r="L268" s="13"/>
      <c r="M268" s="10"/>
    </row>
    <row r="269" spans="1:13" x14ac:dyDescent="0.25">
      <c r="A269" s="10" t="s">
        <v>561</v>
      </c>
      <c r="B269" s="10" t="s">
        <v>562</v>
      </c>
      <c r="C269" s="10" t="s">
        <v>550</v>
      </c>
      <c r="D269" s="10" t="s">
        <v>378</v>
      </c>
      <c r="E269" s="10" t="s">
        <v>1</v>
      </c>
      <c r="F269" s="10"/>
      <c r="G269" s="10"/>
      <c r="H269" s="11"/>
      <c r="I269" s="11"/>
      <c r="J269" s="12"/>
      <c r="K269" s="13"/>
      <c r="L269" s="13"/>
      <c r="M269" s="10"/>
    </row>
    <row r="270" spans="1:13" x14ac:dyDescent="0.25">
      <c r="A270" s="6" t="s">
        <v>563</v>
      </c>
      <c r="B270" s="6" t="s">
        <v>417</v>
      </c>
      <c r="C270" s="6" t="s">
        <v>533</v>
      </c>
      <c r="D270" s="6" t="s">
        <v>548</v>
      </c>
      <c r="E270" s="6" t="s">
        <v>18</v>
      </c>
      <c r="F270" s="6"/>
      <c r="G270" s="6"/>
      <c r="H270" s="7"/>
      <c r="I270" s="7"/>
      <c r="J270" s="8"/>
      <c r="K270" s="9"/>
      <c r="L270" s="9"/>
      <c r="M270" s="6"/>
    </row>
    <row r="271" spans="1:13" x14ac:dyDescent="0.25">
      <c r="A271" s="10" t="s">
        <v>564</v>
      </c>
      <c r="B271" s="10" t="s">
        <v>565</v>
      </c>
      <c r="C271" s="10" t="s">
        <v>563</v>
      </c>
      <c r="D271" s="10" t="s">
        <v>548</v>
      </c>
      <c r="E271" s="10" t="s">
        <v>1</v>
      </c>
      <c r="F271" s="10"/>
      <c r="G271" s="10"/>
      <c r="H271" s="11"/>
      <c r="I271" s="11"/>
      <c r="J271" s="12"/>
      <c r="K271" s="13"/>
      <c r="L271" s="13"/>
      <c r="M271" s="10"/>
    </row>
    <row r="272" spans="1:13" x14ac:dyDescent="0.25">
      <c r="A272" s="10" t="s">
        <v>566</v>
      </c>
      <c r="B272" s="10" t="s">
        <v>567</v>
      </c>
      <c r="C272" s="10" t="s">
        <v>563</v>
      </c>
      <c r="D272" s="10" t="s">
        <v>364</v>
      </c>
      <c r="E272" s="10" t="s">
        <v>1</v>
      </c>
      <c r="F272" s="10"/>
      <c r="G272" s="10"/>
      <c r="H272" s="11"/>
      <c r="I272" s="11"/>
      <c r="J272" s="12"/>
      <c r="K272" s="13"/>
      <c r="L272" s="13"/>
      <c r="M272" s="10"/>
    </row>
    <row r="273" spans="1:13" x14ac:dyDescent="0.25">
      <c r="A273" s="10" t="s">
        <v>568</v>
      </c>
      <c r="B273" s="10" t="s">
        <v>569</v>
      </c>
      <c r="C273" s="10" t="s">
        <v>563</v>
      </c>
      <c r="D273" s="10" t="s">
        <v>544</v>
      </c>
      <c r="E273" s="10" t="s">
        <v>1</v>
      </c>
      <c r="F273" s="10"/>
      <c r="G273" s="10"/>
      <c r="H273" s="11"/>
      <c r="I273" s="11"/>
      <c r="J273" s="12"/>
      <c r="K273" s="13"/>
      <c r="L273" s="13"/>
      <c r="M273" s="10"/>
    </row>
    <row r="274" spans="1:13" x14ac:dyDescent="0.25">
      <c r="A274" s="10" t="s">
        <v>570</v>
      </c>
      <c r="B274" s="10" t="s">
        <v>571</v>
      </c>
      <c r="C274" s="10" t="s">
        <v>563</v>
      </c>
      <c r="D274" s="10" t="s">
        <v>568</v>
      </c>
      <c r="E274" s="10" t="s">
        <v>1</v>
      </c>
      <c r="F274" s="10"/>
      <c r="G274" s="10"/>
      <c r="H274" s="11"/>
      <c r="I274" s="11"/>
      <c r="J274" s="12"/>
      <c r="K274" s="13"/>
      <c r="L274" s="13"/>
      <c r="M274" s="10"/>
    </row>
    <row r="275" spans="1:13" x14ac:dyDescent="0.25">
      <c r="A275" s="10" t="s">
        <v>572</v>
      </c>
      <c r="B275" s="10" t="s">
        <v>547</v>
      </c>
      <c r="C275" s="10" t="s">
        <v>563</v>
      </c>
      <c r="D275" s="10" t="s">
        <v>546</v>
      </c>
      <c r="E275" s="10" t="s">
        <v>1</v>
      </c>
      <c r="F275" s="10"/>
      <c r="G275" s="10"/>
      <c r="H275" s="11"/>
      <c r="I275" s="11"/>
      <c r="J275" s="12"/>
      <c r="K275" s="13"/>
      <c r="L275" s="13"/>
      <c r="M275" s="10"/>
    </row>
    <row r="276" spans="1:13" x14ac:dyDescent="0.25">
      <c r="A276" s="2" t="s">
        <v>573</v>
      </c>
      <c r="B276" s="2" t="s">
        <v>574</v>
      </c>
      <c r="C276" s="2"/>
      <c r="D276" s="2"/>
      <c r="E276" s="2" t="s">
        <v>15</v>
      </c>
      <c r="F276" s="2"/>
      <c r="G276" s="2"/>
      <c r="H276" s="3"/>
      <c r="I276" s="3"/>
      <c r="J276" s="4"/>
      <c r="K276" s="5"/>
      <c r="L276" s="5"/>
      <c r="M276" s="2"/>
    </row>
    <row r="277" spans="1:13" x14ac:dyDescent="0.25">
      <c r="A277" s="6" t="s">
        <v>575</v>
      </c>
      <c r="B277" s="6" t="s">
        <v>576</v>
      </c>
      <c r="C277" s="6" t="s">
        <v>573</v>
      </c>
      <c r="D277" s="6" t="s">
        <v>577</v>
      </c>
      <c r="E277" s="6" t="s">
        <v>18</v>
      </c>
      <c r="F277" s="6"/>
      <c r="G277" s="6"/>
      <c r="H277" s="7"/>
      <c r="I277" s="7"/>
      <c r="J277" s="8"/>
      <c r="K277" s="9"/>
      <c r="L277" s="9"/>
      <c r="M277" s="6"/>
    </row>
    <row r="278" spans="1:13" x14ac:dyDescent="0.25">
      <c r="A278" s="10" t="s">
        <v>578</v>
      </c>
      <c r="B278" s="10" t="s">
        <v>579</v>
      </c>
      <c r="C278" s="10" t="s">
        <v>575</v>
      </c>
      <c r="D278" s="10" t="s">
        <v>240</v>
      </c>
      <c r="E278" s="10" t="s">
        <v>1</v>
      </c>
      <c r="F278" s="10"/>
      <c r="G278" s="10"/>
      <c r="H278" s="11"/>
      <c r="I278" s="11"/>
      <c r="J278" s="12"/>
      <c r="K278" s="13"/>
      <c r="L278" s="13"/>
      <c r="M278" s="10"/>
    </row>
    <row r="279" spans="1:13" x14ac:dyDescent="0.25">
      <c r="A279" s="10" t="s">
        <v>580</v>
      </c>
      <c r="B279" s="10" t="s">
        <v>581</v>
      </c>
      <c r="C279" s="10" t="s">
        <v>575</v>
      </c>
      <c r="D279" s="10" t="s">
        <v>252</v>
      </c>
      <c r="E279" s="10" t="s">
        <v>1</v>
      </c>
      <c r="F279" s="10"/>
      <c r="G279" s="10"/>
      <c r="H279" s="11"/>
      <c r="I279" s="11"/>
      <c r="J279" s="12"/>
      <c r="K279" s="13"/>
      <c r="L279" s="13"/>
      <c r="M279" s="10"/>
    </row>
    <row r="280" spans="1:13" x14ac:dyDescent="0.25">
      <c r="A280" s="10" t="s">
        <v>582</v>
      </c>
      <c r="B280" s="10" t="s">
        <v>583</v>
      </c>
      <c r="C280" s="10" t="s">
        <v>575</v>
      </c>
      <c r="D280" s="10" t="s">
        <v>186</v>
      </c>
      <c r="E280" s="10" t="s">
        <v>1</v>
      </c>
      <c r="F280" s="10"/>
      <c r="G280" s="10"/>
      <c r="H280" s="11"/>
      <c r="I280" s="11"/>
      <c r="J280" s="12"/>
      <c r="K280" s="13"/>
      <c r="L280" s="13"/>
      <c r="M280" s="10"/>
    </row>
    <row r="281" spans="1:13" x14ac:dyDescent="0.25">
      <c r="A281" s="10" t="s">
        <v>584</v>
      </c>
      <c r="B281" s="10" t="s">
        <v>585</v>
      </c>
      <c r="C281" s="10" t="s">
        <v>575</v>
      </c>
      <c r="D281" s="10" t="s">
        <v>414</v>
      </c>
      <c r="E281" s="10" t="s">
        <v>1</v>
      </c>
      <c r="F281" s="10"/>
      <c r="G281" s="10"/>
      <c r="H281" s="11"/>
      <c r="I281" s="11"/>
      <c r="J281" s="12"/>
      <c r="K281" s="13"/>
      <c r="L281" s="13"/>
      <c r="M281" s="10"/>
    </row>
    <row r="282" spans="1:13" x14ac:dyDescent="0.25">
      <c r="A282" s="6" t="s">
        <v>586</v>
      </c>
      <c r="B282" s="6" t="s">
        <v>587</v>
      </c>
      <c r="C282" s="6" t="s">
        <v>573</v>
      </c>
      <c r="D282" s="6" t="s">
        <v>263</v>
      </c>
      <c r="E282" s="6" t="s">
        <v>18</v>
      </c>
      <c r="F282" s="6"/>
      <c r="G282" s="6"/>
      <c r="H282" s="7"/>
      <c r="I282" s="7"/>
      <c r="J282" s="8"/>
      <c r="K282" s="9"/>
      <c r="L282" s="9"/>
      <c r="M282" s="6"/>
    </row>
    <row r="283" spans="1:13" x14ac:dyDescent="0.25">
      <c r="A283" s="10" t="s">
        <v>588</v>
      </c>
      <c r="B283" s="10" t="s">
        <v>251</v>
      </c>
      <c r="C283" s="10" t="s">
        <v>586</v>
      </c>
      <c r="D283" s="10" t="s">
        <v>259</v>
      </c>
      <c r="E283" s="10" t="s">
        <v>1</v>
      </c>
      <c r="F283" s="10"/>
      <c r="G283" s="10"/>
      <c r="H283" s="11"/>
      <c r="I283" s="11"/>
      <c r="J283" s="12"/>
      <c r="K283" s="13"/>
      <c r="L283" s="13"/>
      <c r="M283" s="10"/>
    </row>
    <row r="284" spans="1:13" x14ac:dyDescent="0.25">
      <c r="A284" s="10" t="s">
        <v>589</v>
      </c>
      <c r="B284" s="10" t="s">
        <v>590</v>
      </c>
      <c r="C284" s="10" t="s">
        <v>586</v>
      </c>
      <c r="D284" s="10" t="s">
        <v>250</v>
      </c>
      <c r="E284" s="10" t="s">
        <v>1</v>
      </c>
      <c r="F284" s="10"/>
      <c r="G284" s="10"/>
      <c r="H284" s="11"/>
      <c r="I284" s="11"/>
      <c r="J284" s="12"/>
      <c r="K284" s="13"/>
      <c r="L284" s="13"/>
      <c r="M284" s="10"/>
    </row>
    <row r="285" spans="1:13" x14ac:dyDescent="0.25">
      <c r="A285" s="10" t="s">
        <v>591</v>
      </c>
      <c r="B285" s="10" t="s">
        <v>248</v>
      </c>
      <c r="C285" s="10" t="s">
        <v>586</v>
      </c>
      <c r="D285" s="10" t="s">
        <v>261</v>
      </c>
      <c r="E285" s="10" t="s">
        <v>1</v>
      </c>
      <c r="F285" s="10"/>
      <c r="G285" s="10"/>
      <c r="H285" s="11"/>
      <c r="I285" s="11"/>
      <c r="J285" s="12"/>
      <c r="K285" s="13"/>
      <c r="L285" s="13"/>
      <c r="M285" s="10"/>
    </row>
    <row r="286" spans="1:13" x14ac:dyDescent="0.25">
      <c r="A286" s="10" t="s">
        <v>592</v>
      </c>
      <c r="B286" s="10" t="s">
        <v>213</v>
      </c>
      <c r="C286" s="10" t="s">
        <v>586</v>
      </c>
      <c r="D286" s="10" t="s">
        <v>212</v>
      </c>
      <c r="E286" s="10" t="s">
        <v>1</v>
      </c>
      <c r="F286" s="10"/>
      <c r="G286" s="10"/>
      <c r="H286" s="11"/>
      <c r="I286" s="11"/>
      <c r="J286" s="12"/>
      <c r="K286" s="13"/>
      <c r="L286" s="13"/>
      <c r="M286" s="10"/>
    </row>
    <row r="287" spans="1:13" x14ac:dyDescent="0.25">
      <c r="A287" s="6" t="s">
        <v>593</v>
      </c>
      <c r="B287" s="6" t="s">
        <v>594</v>
      </c>
      <c r="C287" s="6" t="s">
        <v>573</v>
      </c>
      <c r="D287" s="6" t="s">
        <v>259</v>
      </c>
      <c r="E287" s="6" t="s">
        <v>18</v>
      </c>
      <c r="F287" s="6"/>
      <c r="G287" s="6"/>
      <c r="H287" s="7"/>
      <c r="I287" s="7"/>
      <c r="J287" s="8"/>
      <c r="K287" s="9"/>
      <c r="L287" s="9"/>
      <c r="M287" s="6"/>
    </row>
    <row r="288" spans="1:13" x14ac:dyDescent="0.25">
      <c r="A288" s="10" t="s">
        <v>595</v>
      </c>
      <c r="B288" s="10" t="s">
        <v>596</v>
      </c>
      <c r="C288" s="10" t="s">
        <v>593</v>
      </c>
      <c r="D288" s="10" t="s">
        <v>259</v>
      </c>
      <c r="E288" s="10" t="s">
        <v>1</v>
      </c>
      <c r="F288" s="10"/>
      <c r="G288" s="10"/>
      <c r="H288" s="11"/>
      <c r="I288" s="11"/>
      <c r="J288" s="12"/>
      <c r="K288" s="13"/>
      <c r="L288" s="13"/>
      <c r="M288" s="10"/>
    </row>
    <row r="289" spans="1:13" x14ac:dyDescent="0.25">
      <c r="A289" s="10" t="s">
        <v>597</v>
      </c>
      <c r="B289" s="10" t="s">
        <v>598</v>
      </c>
      <c r="C289" s="10" t="s">
        <v>593</v>
      </c>
      <c r="D289" s="10" t="s">
        <v>259</v>
      </c>
      <c r="E289" s="10" t="s">
        <v>1</v>
      </c>
      <c r="F289" s="10"/>
      <c r="G289" s="10"/>
      <c r="H289" s="11"/>
      <c r="I289" s="11"/>
      <c r="J289" s="12"/>
      <c r="K289" s="13"/>
      <c r="L289" s="13"/>
      <c r="M289" s="10"/>
    </row>
    <row r="290" spans="1:13" x14ac:dyDescent="0.25">
      <c r="A290" s="10" t="s">
        <v>599</v>
      </c>
      <c r="B290" s="10" t="s">
        <v>67</v>
      </c>
      <c r="C290" s="10" t="s">
        <v>593</v>
      </c>
      <c r="D290" s="10" t="s">
        <v>259</v>
      </c>
      <c r="E290" s="10" t="s">
        <v>1</v>
      </c>
      <c r="F290" s="10"/>
      <c r="G290" s="10"/>
      <c r="H290" s="11"/>
      <c r="I290" s="11"/>
      <c r="J290" s="12"/>
      <c r="K290" s="13"/>
      <c r="L290" s="13"/>
      <c r="M290" s="10"/>
    </row>
    <row r="291" spans="1:13" x14ac:dyDescent="0.25">
      <c r="A291" s="10" t="s">
        <v>600</v>
      </c>
      <c r="B291" s="10" t="s">
        <v>601</v>
      </c>
      <c r="C291" s="10" t="s">
        <v>593</v>
      </c>
      <c r="D291" s="10" t="s">
        <v>259</v>
      </c>
      <c r="E291" s="10" t="s">
        <v>1</v>
      </c>
      <c r="F291" s="10"/>
      <c r="G291" s="10"/>
      <c r="H291" s="11"/>
      <c r="I291" s="11"/>
      <c r="J291" s="12"/>
      <c r="K291" s="13"/>
      <c r="L291" s="13"/>
      <c r="M291" s="10"/>
    </row>
    <row r="292" spans="1:13" x14ac:dyDescent="0.25">
      <c r="A292" s="10" t="s">
        <v>602</v>
      </c>
      <c r="B292" s="10" t="s">
        <v>603</v>
      </c>
      <c r="C292" s="10" t="s">
        <v>593</v>
      </c>
      <c r="D292" s="10" t="s">
        <v>259</v>
      </c>
      <c r="E292" s="10" t="s">
        <v>1</v>
      </c>
      <c r="F292" s="10"/>
      <c r="G292" s="10"/>
      <c r="H292" s="11"/>
      <c r="I292" s="11"/>
      <c r="J292" s="12"/>
      <c r="K292" s="13"/>
      <c r="L292" s="13"/>
      <c r="M292" s="10"/>
    </row>
    <row r="293" spans="1:13" x14ac:dyDescent="0.25">
      <c r="A293" s="2" t="s">
        <v>604</v>
      </c>
      <c r="B293" s="2" t="s">
        <v>605</v>
      </c>
      <c r="C293" s="2"/>
      <c r="D293" s="2"/>
      <c r="E293" s="2" t="s">
        <v>15</v>
      </c>
      <c r="F293" s="2"/>
      <c r="G293" s="2"/>
      <c r="H293" s="3"/>
      <c r="I293" s="3"/>
      <c r="J293" s="4"/>
      <c r="K293" s="5"/>
      <c r="L293" s="5"/>
      <c r="M293" s="2"/>
    </row>
    <row r="294" spans="1:13" x14ac:dyDescent="0.25">
      <c r="A294" s="10" t="s">
        <v>606</v>
      </c>
      <c r="B294" s="10" t="s">
        <v>607</v>
      </c>
      <c r="C294" s="10" t="s">
        <v>604</v>
      </c>
      <c r="D294" s="10" t="s">
        <v>414</v>
      </c>
      <c r="E294" s="10" t="s">
        <v>1</v>
      </c>
      <c r="F294" s="10"/>
      <c r="G294" s="10"/>
      <c r="H294" s="11"/>
      <c r="I294" s="11"/>
      <c r="J294" s="12"/>
      <c r="K294" s="13"/>
      <c r="L294" s="13"/>
      <c r="M294" s="10"/>
    </row>
    <row r="295" spans="1:13" x14ac:dyDescent="0.25">
      <c r="A295" s="10" t="s">
        <v>608</v>
      </c>
      <c r="B295" s="10" t="s">
        <v>609</v>
      </c>
      <c r="C295" s="10" t="s">
        <v>604</v>
      </c>
      <c r="D295" s="10" t="s">
        <v>261</v>
      </c>
      <c r="E295" s="10" t="s">
        <v>1</v>
      </c>
      <c r="F295" s="10"/>
      <c r="G295" s="10"/>
      <c r="H295" s="11"/>
      <c r="I295" s="11"/>
      <c r="J295" s="12"/>
      <c r="K295" s="13"/>
      <c r="L295" s="13"/>
      <c r="M295" s="10"/>
    </row>
    <row r="296" spans="1:13" x14ac:dyDescent="0.25">
      <c r="A296" s="10" t="s">
        <v>610</v>
      </c>
      <c r="B296" s="10" t="s">
        <v>611</v>
      </c>
      <c r="C296" s="10" t="s">
        <v>604</v>
      </c>
      <c r="D296" s="10" t="s">
        <v>414</v>
      </c>
      <c r="E296" s="10" t="s">
        <v>1</v>
      </c>
      <c r="F296" s="10"/>
      <c r="G296" s="10"/>
      <c r="H296" s="11"/>
      <c r="I296" s="11"/>
      <c r="J296" s="12"/>
      <c r="K296" s="13"/>
      <c r="L296" s="13"/>
      <c r="M296" s="10"/>
    </row>
    <row r="297" spans="1:13" x14ac:dyDescent="0.25">
      <c r="A297" s="10" t="s">
        <v>612</v>
      </c>
      <c r="B297" s="10" t="s">
        <v>613</v>
      </c>
      <c r="C297" s="10" t="s">
        <v>604</v>
      </c>
      <c r="D297" s="10" t="s">
        <v>414</v>
      </c>
      <c r="E297" s="10" t="s">
        <v>1</v>
      </c>
      <c r="F297" s="10"/>
      <c r="G297" s="10"/>
      <c r="H297" s="11"/>
      <c r="I297" s="11"/>
      <c r="J297" s="12"/>
      <c r="K297" s="13"/>
      <c r="L297" s="13"/>
      <c r="M297" s="10"/>
    </row>
    <row r="298" spans="1:13" x14ac:dyDescent="0.25">
      <c r="A298" s="10" t="s">
        <v>614</v>
      </c>
      <c r="B298" s="10" t="s">
        <v>615</v>
      </c>
      <c r="C298" s="10" t="s">
        <v>604</v>
      </c>
      <c r="D298" s="10" t="s">
        <v>612</v>
      </c>
      <c r="E298" s="10" t="s">
        <v>1</v>
      </c>
      <c r="F298" s="10"/>
      <c r="G298" s="10"/>
      <c r="H298" s="11"/>
      <c r="I298" s="11"/>
      <c r="J298" s="12"/>
      <c r="K298" s="13"/>
      <c r="L298" s="13"/>
      <c r="M298" s="10"/>
    </row>
    <row r="299" spans="1:13" x14ac:dyDescent="0.25">
      <c r="A299" s="10" t="s">
        <v>616</v>
      </c>
      <c r="B299" s="10" t="s">
        <v>617</v>
      </c>
      <c r="C299" s="10" t="s">
        <v>604</v>
      </c>
      <c r="D299" s="10" t="s">
        <v>414</v>
      </c>
      <c r="E299" s="10" t="s">
        <v>1</v>
      </c>
      <c r="F299" s="10"/>
      <c r="G299" s="10"/>
      <c r="H299" s="11"/>
      <c r="I299" s="11"/>
      <c r="J299" s="12"/>
      <c r="K299" s="13"/>
      <c r="L299" s="13"/>
      <c r="M299" s="10"/>
    </row>
    <row r="300" spans="1:13" x14ac:dyDescent="0.25">
      <c r="A300" s="10" t="s">
        <v>618</v>
      </c>
      <c r="B300" s="10" t="s">
        <v>619</v>
      </c>
      <c r="C300" s="10" t="s">
        <v>604</v>
      </c>
      <c r="D300" s="10" t="s">
        <v>616</v>
      </c>
      <c r="E300" s="10" t="s">
        <v>1</v>
      </c>
      <c r="F300" s="10"/>
      <c r="G300" s="10"/>
      <c r="H300" s="11"/>
      <c r="I300" s="11"/>
      <c r="J300" s="12"/>
      <c r="K300" s="13"/>
      <c r="L300" s="13"/>
      <c r="M300" s="10"/>
    </row>
    <row r="301" spans="1:13" x14ac:dyDescent="0.25">
      <c r="A301" s="10" t="s">
        <v>620</v>
      </c>
      <c r="B301" s="10" t="s">
        <v>621</v>
      </c>
      <c r="C301" s="10" t="s">
        <v>604</v>
      </c>
      <c r="D301" s="10" t="s">
        <v>616</v>
      </c>
      <c r="E301" s="10" t="s">
        <v>1</v>
      </c>
      <c r="F301" s="10"/>
      <c r="G301" s="10"/>
      <c r="H301" s="11"/>
      <c r="I301" s="11"/>
      <c r="J301" s="12"/>
      <c r="K301" s="13"/>
      <c r="L301" s="13"/>
      <c r="M301" s="10"/>
    </row>
    <row r="302" spans="1:13" x14ac:dyDescent="0.25">
      <c r="A302" s="10" t="s">
        <v>622</v>
      </c>
      <c r="B302" s="10" t="s">
        <v>623</v>
      </c>
      <c r="C302" s="10" t="s">
        <v>604</v>
      </c>
      <c r="D302" s="10" t="s">
        <v>412</v>
      </c>
      <c r="E302" s="10" t="s">
        <v>1</v>
      </c>
      <c r="F302" s="10"/>
      <c r="G302" s="10"/>
      <c r="H302" s="11"/>
      <c r="I302" s="11"/>
      <c r="J302" s="12"/>
      <c r="K302" s="13"/>
      <c r="L302" s="13"/>
      <c r="M302" s="10"/>
    </row>
    <row r="303" spans="1:13" x14ac:dyDescent="0.25">
      <c r="A303" s="10" t="s">
        <v>624</v>
      </c>
      <c r="B303" s="10" t="s">
        <v>625</v>
      </c>
      <c r="C303" s="10" t="s">
        <v>604</v>
      </c>
      <c r="D303" s="10" t="s">
        <v>612</v>
      </c>
      <c r="E303" s="10" t="s">
        <v>1</v>
      </c>
      <c r="F303" s="10"/>
      <c r="G303" s="10"/>
      <c r="H303" s="11"/>
      <c r="I303" s="11"/>
      <c r="J303" s="12"/>
      <c r="K303" s="13"/>
      <c r="L303" s="13"/>
      <c r="M303" s="10"/>
    </row>
    <row r="304" spans="1:13" x14ac:dyDescent="0.25">
      <c r="A304" s="2" t="s">
        <v>626</v>
      </c>
      <c r="B304" s="2" t="s">
        <v>627</v>
      </c>
      <c r="C304" s="2"/>
      <c r="D304" s="2"/>
      <c r="E304" s="2" t="s">
        <v>15</v>
      </c>
      <c r="F304" s="2"/>
      <c r="G304" s="2"/>
      <c r="H304" s="3"/>
      <c r="I304" s="3"/>
      <c r="J304" s="4"/>
      <c r="K304" s="5"/>
      <c r="L304" s="5"/>
      <c r="M304" s="2"/>
    </row>
    <row r="305" spans="1:13" x14ac:dyDescent="0.25">
      <c r="A305" s="6" t="s">
        <v>628</v>
      </c>
      <c r="B305" s="6" t="s">
        <v>629</v>
      </c>
      <c r="C305" s="6" t="s">
        <v>626</v>
      </c>
      <c r="D305" s="6" t="s">
        <v>186</v>
      </c>
      <c r="E305" s="6" t="s">
        <v>18</v>
      </c>
      <c r="F305" s="6"/>
      <c r="G305" s="6"/>
      <c r="H305" s="7"/>
      <c r="I305" s="7"/>
      <c r="J305" s="8"/>
      <c r="K305" s="9"/>
      <c r="L305" s="9"/>
      <c r="M305" s="6"/>
    </row>
    <row r="306" spans="1:13" x14ac:dyDescent="0.25">
      <c r="A306" s="10" t="s">
        <v>630</v>
      </c>
      <c r="B306" s="10" t="s">
        <v>331</v>
      </c>
      <c r="C306" s="10" t="s">
        <v>628</v>
      </c>
      <c r="D306" s="10" t="s">
        <v>186</v>
      </c>
      <c r="E306" s="10" t="s">
        <v>1</v>
      </c>
      <c r="F306" s="10"/>
      <c r="G306" s="10"/>
      <c r="H306" s="11"/>
      <c r="I306" s="11"/>
      <c r="J306" s="12"/>
      <c r="K306" s="13"/>
      <c r="L306" s="13"/>
      <c r="M306" s="10"/>
    </row>
    <row r="307" spans="1:13" x14ac:dyDescent="0.25">
      <c r="A307" s="10" t="s">
        <v>631</v>
      </c>
      <c r="B307" s="10" t="s">
        <v>371</v>
      </c>
      <c r="C307" s="10" t="s">
        <v>628</v>
      </c>
      <c r="D307" s="10" t="s">
        <v>630</v>
      </c>
      <c r="E307" s="10" t="s">
        <v>1</v>
      </c>
      <c r="F307" s="10"/>
      <c r="G307" s="10"/>
      <c r="H307" s="11"/>
      <c r="I307" s="11"/>
      <c r="J307" s="12"/>
      <c r="K307" s="13"/>
      <c r="L307" s="13"/>
      <c r="M307" s="10"/>
    </row>
    <row r="308" spans="1:13" x14ac:dyDescent="0.25">
      <c r="A308" s="10" t="s">
        <v>632</v>
      </c>
      <c r="B308" s="10" t="s">
        <v>633</v>
      </c>
      <c r="C308" s="10" t="s">
        <v>628</v>
      </c>
      <c r="D308" s="10" t="s">
        <v>631</v>
      </c>
      <c r="E308" s="10" t="s">
        <v>1</v>
      </c>
      <c r="F308" s="10"/>
      <c r="G308" s="10"/>
      <c r="H308" s="11"/>
      <c r="I308" s="11"/>
      <c r="J308" s="12"/>
      <c r="K308" s="13"/>
      <c r="L308" s="13"/>
      <c r="M308" s="10"/>
    </row>
    <row r="309" spans="1:13" x14ac:dyDescent="0.25">
      <c r="A309" s="6" t="s">
        <v>634</v>
      </c>
      <c r="B309" s="6" t="s">
        <v>635</v>
      </c>
      <c r="C309" s="6" t="s">
        <v>626</v>
      </c>
      <c r="D309" s="6" t="s">
        <v>330</v>
      </c>
      <c r="E309" s="6" t="s">
        <v>18</v>
      </c>
      <c r="F309" s="6"/>
      <c r="G309" s="6"/>
      <c r="H309" s="7"/>
      <c r="I309" s="7"/>
      <c r="J309" s="8"/>
      <c r="K309" s="9"/>
      <c r="L309" s="9"/>
      <c r="M309" s="6"/>
    </row>
    <row r="310" spans="1:13" x14ac:dyDescent="0.25">
      <c r="A310" s="10" t="s">
        <v>636</v>
      </c>
      <c r="B310" s="10" t="s">
        <v>637</v>
      </c>
      <c r="C310" s="10" t="s">
        <v>634</v>
      </c>
      <c r="D310" s="10" t="s">
        <v>330</v>
      </c>
      <c r="E310" s="10" t="s">
        <v>1</v>
      </c>
      <c r="F310" s="10"/>
      <c r="G310" s="10"/>
      <c r="H310" s="11"/>
      <c r="I310" s="11"/>
      <c r="J310" s="12"/>
      <c r="K310" s="13"/>
      <c r="L310" s="13"/>
      <c r="M310" s="10"/>
    </row>
    <row r="311" spans="1:13" x14ac:dyDescent="0.25">
      <c r="A311" s="10" t="s">
        <v>638</v>
      </c>
      <c r="B311" s="10" t="s">
        <v>639</v>
      </c>
      <c r="C311" s="10" t="s">
        <v>634</v>
      </c>
      <c r="D311" s="10" t="s">
        <v>636</v>
      </c>
      <c r="E311" s="10" t="s">
        <v>1</v>
      </c>
      <c r="F311" s="10"/>
      <c r="G311" s="10"/>
      <c r="H311" s="11"/>
      <c r="I311" s="11"/>
      <c r="J311" s="12"/>
      <c r="K311" s="13"/>
      <c r="L311" s="13"/>
      <c r="M311" s="10"/>
    </row>
    <row r="312" spans="1:13" x14ac:dyDescent="0.25">
      <c r="A312" s="10" t="s">
        <v>640</v>
      </c>
      <c r="B312" s="10" t="s">
        <v>281</v>
      </c>
      <c r="C312" s="10" t="s">
        <v>634</v>
      </c>
      <c r="D312" s="10" t="s">
        <v>638</v>
      </c>
      <c r="E312" s="10" t="s">
        <v>1</v>
      </c>
      <c r="F312" s="10"/>
      <c r="G312" s="10"/>
      <c r="H312" s="11"/>
      <c r="I312" s="11"/>
      <c r="J312" s="12"/>
      <c r="K312" s="13"/>
      <c r="L312" s="13"/>
      <c r="M312" s="10"/>
    </row>
    <row r="313" spans="1:13" x14ac:dyDescent="0.25">
      <c r="A313" s="10" t="s">
        <v>641</v>
      </c>
      <c r="B313" s="10" t="s">
        <v>285</v>
      </c>
      <c r="C313" s="10" t="s">
        <v>634</v>
      </c>
      <c r="D313" s="10" t="s">
        <v>640</v>
      </c>
      <c r="E313" s="10" t="s">
        <v>1</v>
      </c>
      <c r="F313" s="10"/>
      <c r="G313" s="10"/>
      <c r="H313" s="11"/>
      <c r="I313" s="11"/>
      <c r="J313" s="12"/>
      <c r="K313" s="13"/>
      <c r="L313" s="13"/>
      <c r="M313" s="10"/>
    </row>
    <row r="314" spans="1:13" x14ac:dyDescent="0.25">
      <c r="A314" s="6" t="s">
        <v>642</v>
      </c>
      <c r="B314" s="6" t="s">
        <v>643</v>
      </c>
      <c r="C314" s="6" t="s">
        <v>626</v>
      </c>
      <c r="D314" s="6" t="s">
        <v>644</v>
      </c>
      <c r="E314" s="6" t="s">
        <v>18</v>
      </c>
      <c r="F314" s="6"/>
      <c r="G314" s="6"/>
      <c r="H314" s="7"/>
      <c r="I314" s="7"/>
      <c r="J314" s="8"/>
      <c r="K314" s="9"/>
      <c r="L314" s="9"/>
      <c r="M314" s="6"/>
    </row>
    <row r="315" spans="1:13" x14ac:dyDescent="0.25">
      <c r="A315" s="10" t="s">
        <v>645</v>
      </c>
      <c r="B315" s="10" t="s">
        <v>646</v>
      </c>
      <c r="C315" s="10" t="s">
        <v>642</v>
      </c>
      <c r="D315" s="10" t="s">
        <v>416</v>
      </c>
      <c r="E315" s="10" t="s">
        <v>1</v>
      </c>
      <c r="F315" s="10"/>
      <c r="G315" s="10"/>
      <c r="H315" s="11"/>
      <c r="I315" s="11"/>
      <c r="J315" s="12"/>
      <c r="K315" s="13"/>
      <c r="L315" s="13"/>
      <c r="M315" s="10"/>
    </row>
    <row r="316" spans="1:13" x14ac:dyDescent="0.25">
      <c r="A316" s="10" t="s">
        <v>647</v>
      </c>
      <c r="B316" s="10" t="s">
        <v>648</v>
      </c>
      <c r="C316" s="10" t="s">
        <v>642</v>
      </c>
      <c r="D316" s="10" t="s">
        <v>645</v>
      </c>
      <c r="E316" s="10" t="s">
        <v>1</v>
      </c>
      <c r="F316" s="10"/>
      <c r="G316" s="10"/>
      <c r="H316" s="11"/>
      <c r="I316" s="11"/>
      <c r="J316" s="12"/>
      <c r="K316" s="13"/>
      <c r="L316" s="13"/>
      <c r="M316" s="10"/>
    </row>
    <row r="317" spans="1:13" x14ac:dyDescent="0.25">
      <c r="A317" s="10" t="s">
        <v>649</v>
      </c>
      <c r="B317" s="10" t="s">
        <v>650</v>
      </c>
      <c r="C317" s="10" t="s">
        <v>642</v>
      </c>
      <c r="D317" s="10" t="s">
        <v>406</v>
      </c>
      <c r="E317" s="10" t="s">
        <v>1</v>
      </c>
      <c r="F317" s="10"/>
      <c r="G317" s="10"/>
      <c r="H317" s="11"/>
      <c r="I317" s="11"/>
      <c r="J317" s="12"/>
      <c r="K317" s="13"/>
      <c r="L317" s="13"/>
      <c r="M317" s="10"/>
    </row>
    <row r="318" spans="1:13" x14ac:dyDescent="0.25">
      <c r="A318" s="10" t="s">
        <v>651</v>
      </c>
      <c r="B318" s="10" t="s">
        <v>652</v>
      </c>
      <c r="C318" s="10" t="s">
        <v>642</v>
      </c>
      <c r="D318" s="10" t="s">
        <v>404</v>
      </c>
      <c r="E318" s="10" t="s">
        <v>1</v>
      </c>
      <c r="F318" s="10"/>
      <c r="G318" s="10"/>
      <c r="H318" s="11"/>
      <c r="I318" s="11"/>
      <c r="J318" s="12"/>
      <c r="K318" s="13"/>
      <c r="L318" s="13"/>
      <c r="M318" s="10"/>
    </row>
    <row r="319" spans="1:13" x14ac:dyDescent="0.25">
      <c r="A319" s="10" t="s">
        <v>653</v>
      </c>
      <c r="B319" s="10" t="s">
        <v>654</v>
      </c>
      <c r="C319" s="10" t="s">
        <v>642</v>
      </c>
      <c r="D319" s="10" t="s">
        <v>428</v>
      </c>
      <c r="E319" s="10" t="s">
        <v>1</v>
      </c>
      <c r="F319" s="10"/>
      <c r="G319" s="10"/>
      <c r="H319" s="11"/>
      <c r="I319" s="11"/>
      <c r="J319" s="12"/>
      <c r="K319" s="13"/>
      <c r="L319" s="13"/>
      <c r="M319" s="10"/>
    </row>
    <row r="320" spans="1:13" x14ac:dyDescent="0.25">
      <c r="A320" s="6" t="s">
        <v>655</v>
      </c>
      <c r="B320" s="6" t="s">
        <v>656</v>
      </c>
      <c r="C320" s="6" t="s">
        <v>626</v>
      </c>
      <c r="D320" s="6" t="s">
        <v>657</v>
      </c>
      <c r="E320" s="6" t="s">
        <v>18</v>
      </c>
      <c r="F320" s="6"/>
      <c r="G320" s="6"/>
      <c r="H320" s="7"/>
      <c r="I320" s="7"/>
      <c r="J320" s="8"/>
      <c r="K320" s="9"/>
      <c r="L320" s="9"/>
      <c r="M320" s="6"/>
    </row>
    <row r="321" spans="1:13" x14ac:dyDescent="0.25">
      <c r="A321" s="10" t="s">
        <v>658</v>
      </c>
      <c r="B321" s="10" t="s">
        <v>659</v>
      </c>
      <c r="C321" s="10" t="s">
        <v>655</v>
      </c>
      <c r="D321" s="10" t="s">
        <v>446</v>
      </c>
      <c r="E321" s="10" t="s">
        <v>1</v>
      </c>
      <c r="F321" s="10"/>
      <c r="G321" s="10"/>
      <c r="H321" s="11"/>
      <c r="I321" s="11"/>
      <c r="J321" s="12"/>
      <c r="K321" s="13"/>
      <c r="L321" s="13"/>
      <c r="M321" s="10"/>
    </row>
    <row r="322" spans="1:13" x14ac:dyDescent="0.25">
      <c r="A322" s="10" t="s">
        <v>660</v>
      </c>
      <c r="B322" s="10" t="s">
        <v>661</v>
      </c>
      <c r="C322" s="10" t="s">
        <v>655</v>
      </c>
      <c r="D322" s="10" t="s">
        <v>438</v>
      </c>
      <c r="E322" s="10" t="s">
        <v>1</v>
      </c>
      <c r="F322" s="10"/>
      <c r="G322" s="10"/>
      <c r="H322" s="11"/>
      <c r="I322" s="11"/>
      <c r="J322" s="12"/>
      <c r="K322" s="13"/>
      <c r="L322" s="13"/>
      <c r="M322" s="10"/>
    </row>
    <row r="323" spans="1:13" x14ac:dyDescent="0.25">
      <c r="A323" s="10" t="s">
        <v>662</v>
      </c>
      <c r="B323" s="10" t="s">
        <v>663</v>
      </c>
      <c r="C323" s="10" t="s">
        <v>655</v>
      </c>
      <c r="D323" s="10" t="s">
        <v>457</v>
      </c>
      <c r="E323" s="10" t="s">
        <v>1</v>
      </c>
      <c r="F323" s="10"/>
      <c r="G323" s="10"/>
      <c r="H323" s="11"/>
      <c r="I323" s="11"/>
      <c r="J323" s="12"/>
      <c r="K323" s="13"/>
      <c r="L323" s="13"/>
      <c r="M323" s="10"/>
    </row>
    <row r="324" spans="1:13" x14ac:dyDescent="0.25">
      <c r="A324" s="6" t="s">
        <v>664</v>
      </c>
      <c r="B324" s="6" t="s">
        <v>665</v>
      </c>
      <c r="C324" s="6" t="s">
        <v>626</v>
      </c>
      <c r="D324" s="6" t="s">
        <v>499</v>
      </c>
      <c r="E324" s="6" t="s">
        <v>18</v>
      </c>
      <c r="F324" s="6"/>
      <c r="G324" s="6"/>
      <c r="H324" s="7"/>
      <c r="I324" s="7"/>
      <c r="J324" s="8"/>
      <c r="K324" s="9"/>
      <c r="L324" s="9"/>
      <c r="M324" s="6"/>
    </row>
    <row r="325" spans="1:13" x14ac:dyDescent="0.25">
      <c r="A325" s="10" t="s">
        <v>666</v>
      </c>
      <c r="B325" s="10" t="s">
        <v>667</v>
      </c>
      <c r="C325" s="10" t="s">
        <v>664</v>
      </c>
      <c r="D325" s="10" t="s">
        <v>465</v>
      </c>
      <c r="E325" s="10" t="s">
        <v>1</v>
      </c>
      <c r="F325" s="10"/>
      <c r="G325" s="10"/>
      <c r="H325" s="11"/>
      <c r="I325" s="11"/>
      <c r="J325" s="12"/>
      <c r="K325" s="13"/>
      <c r="L325" s="13"/>
      <c r="M325" s="10"/>
    </row>
    <row r="326" spans="1:13" x14ac:dyDescent="0.25">
      <c r="A326" s="10" t="s">
        <v>668</v>
      </c>
      <c r="B326" s="10" t="s">
        <v>669</v>
      </c>
      <c r="C326" s="10" t="s">
        <v>664</v>
      </c>
      <c r="D326" s="10" t="s">
        <v>482</v>
      </c>
      <c r="E326" s="10" t="s">
        <v>1</v>
      </c>
      <c r="F326" s="10"/>
      <c r="G326" s="10"/>
      <c r="H326" s="11"/>
      <c r="I326" s="11"/>
      <c r="J326" s="12"/>
      <c r="K326" s="13"/>
      <c r="L326" s="13"/>
      <c r="M326" s="10"/>
    </row>
    <row r="327" spans="1:13" x14ac:dyDescent="0.25">
      <c r="A327" s="10" t="s">
        <v>670</v>
      </c>
      <c r="B327" s="10" t="s">
        <v>671</v>
      </c>
      <c r="C327" s="10" t="s">
        <v>664</v>
      </c>
      <c r="D327" s="10" t="s">
        <v>488</v>
      </c>
      <c r="E327" s="10" t="s">
        <v>1</v>
      </c>
      <c r="F327" s="10"/>
      <c r="G327" s="10"/>
      <c r="H327" s="11"/>
      <c r="I327" s="11"/>
      <c r="J327" s="12"/>
      <c r="K327" s="13"/>
      <c r="L327" s="13"/>
      <c r="M327" s="10"/>
    </row>
    <row r="328" spans="1:13" x14ac:dyDescent="0.25">
      <c r="A328" s="10" t="s">
        <v>672</v>
      </c>
      <c r="B328" s="10" t="s">
        <v>673</v>
      </c>
      <c r="C328" s="10" t="s">
        <v>664</v>
      </c>
      <c r="D328" s="10" t="s">
        <v>487</v>
      </c>
      <c r="E328" s="10" t="s">
        <v>1</v>
      </c>
      <c r="F328" s="10"/>
      <c r="G328" s="10"/>
      <c r="H328" s="11"/>
      <c r="I328" s="11"/>
      <c r="J328" s="12"/>
      <c r="K328" s="13"/>
      <c r="L328" s="13"/>
      <c r="M328" s="10"/>
    </row>
    <row r="329" spans="1:13" x14ac:dyDescent="0.25">
      <c r="A329" s="6" t="s">
        <v>674</v>
      </c>
      <c r="B329" s="6" t="s">
        <v>675</v>
      </c>
      <c r="C329" s="6" t="s">
        <v>626</v>
      </c>
      <c r="D329" s="6" t="s">
        <v>378</v>
      </c>
      <c r="E329" s="6" t="s">
        <v>18</v>
      </c>
      <c r="F329" s="6"/>
      <c r="G329" s="6"/>
      <c r="H329" s="7"/>
      <c r="I329" s="7"/>
      <c r="J329" s="8"/>
      <c r="K329" s="9"/>
      <c r="L329" s="9"/>
      <c r="M329" s="6"/>
    </row>
    <row r="330" spans="1:13" x14ac:dyDescent="0.25">
      <c r="A330" s="10" t="s">
        <v>676</v>
      </c>
      <c r="B330" s="10" t="s">
        <v>677</v>
      </c>
      <c r="C330" s="10" t="s">
        <v>674</v>
      </c>
      <c r="D330" s="10" t="s">
        <v>378</v>
      </c>
      <c r="E330" s="10" t="s">
        <v>1</v>
      </c>
      <c r="F330" s="10"/>
      <c r="G330" s="10"/>
      <c r="H330" s="11"/>
      <c r="I330" s="11"/>
      <c r="J330" s="12"/>
      <c r="K330" s="13"/>
      <c r="L330" s="13"/>
      <c r="M330" s="10"/>
    </row>
    <row r="331" spans="1:13" x14ac:dyDescent="0.25">
      <c r="A331" s="10" t="s">
        <v>678</v>
      </c>
      <c r="B331" s="10" t="s">
        <v>679</v>
      </c>
      <c r="C331" s="10" t="s">
        <v>674</v>
      </c>
      <c r="D331" s="10" t="s">
        <v>676</v>
      </c>
      <c r="E331" s="10" t="s">
        <v>1</v>
      </c>
      <c r="F331" s="10"/>
      <c r="G331" s="10"/>
      <c r="H331" s="11"/>
      <c r="I331" s="11"/>
      <c r="J331" s="12"/>
      <c r="K331" s="13"/>
      <c r="L331" s="13"/>
      <c r="M331" s="10"/>
    </row>
    <row r="332" spans="1:13" x14ac:dyDescent="0.25">
      <c r="A332" s="10" t="s">
        <v>680</v>
      </c>
      <c r="B332" s="10" t="s">
        <v>681</v>
      </c>
      <c r="C332" s="10" t="s">
        <v>674</v>
      </c>
      <c r="D332" s="10" t="s">
        <v>678</v>
      </c>
      <c r="E332" s="10" t="s">
        <v>1</v>
      </c>
      <c r="F332" s="10"/>
      <c r="G332" s="10"/>
      <c r="H332" s="11"/>
      <c r="I332" s="11"/>
      <c r="J332" s="12"/>
      <c r="K332" s="13"/>
      <c r="L332" s="13"/>
      <c r="M332" s="10"/>
    </row>
    <row r="333" spans="1:13" x14ac:dyDescent="0.25">
      <c r="A333" s="10" t="s">
        <v>682</v>
      </c>
      <c r="B333" s="10" t="s">
        <v>683</v>
      </c>
      <c r="C333" s="10" t="s">
        <v>674</v>
      </c>
      <c r="D333" s="10" t="s">
        <v>680</v>
      </c>
      <c r="E333" s="10" t="s">
        <v>1</v>
      </c>
      <c r="F333" s="10"/>
      <c r="G333" s="10"/>
      <c r="H333" s="11"/>
      <c r="I333" s="11"/>
      <c r="J333" s="12"/>
      <c r="K333" s="13"/>
      <c r="L333" s="13"/>
      <c r="M333" s="10"/>
    </row>
    <row r="334" spans="1:13" x14ac:dyDescent="0.25">
      <c r="A334" s="10" t="s">
        <v>684</v>
      </c>
      <c r="B334" s="10" t="s">
        <v>685</v>
      </c>
      <c r="C334" s="10" t="s">
        <v>674</v>
      </c>
      <c r="D334" s="10" t="s">
        <v>682</v>
      </c>
      <c r="E334" s="10" t="s">
        <v>60</v>
      </c>
      <c r="F334" s="10"/>
      <c r="G334" s="10"/>
      <c r="H334" s="11"/>
      <c r="I334" s="11"/>
      <c r="J334" s="12"/>
      <c r="K334" s="13"/>
      <c r="L334" s="13"/>
      <c r="M334" s="10"/>
    </row>
    <row r="335" spans="1:13" x14ac:dyDescent="0.25">
      <c r="A335" s="2" t="s">
        <v>686</v>
      </c>
      <c r="B335" s="2" t="s">
        <v>687</v>
      </c>
      <c r="C335" s="2"/>
      <c r="D335" s="2"/>
      <c r="E335" s="2" t="s">
        <v>15</v>
      </c>
      <c r="F335" s="2"/>
      <c r="G335" s="2"/>
      <c r="H335" s="3"/>
      <c r="I335" s="3"/>
      <c r="J335" s="4"/>
      <c r="K335" s="5"/>
      <c r="L335" s="5"/>
      <c r="M335" s="2"/>
    </row>
    <row r="336" spans="1:13" x14ac:dyDescent="0.25">
      <c r="A336" s="10" t="s">
        <v>688</v>
      </c>
      <c r="B336" s="10" t="s">
        <v>689</v>
      </c>
      <c r="C336" s="10" t="s">
        <v>686</v>
      </c>
      <c r="D336" s="10" t="s">
        <v>684</v>
      </c>
      <c r="E336" s="10" t="s">
        <v>1</v>
      </c>
      <c r="F336" s="10"/>
      <c r="G336" s="10"/>
      <c r="H336" s="11"/>
      <c r="I336" s="11"/>
      <c r="J336" s="12"/>
      <c r="K336" s="13"/>
      <c r="L336" s="13"/>
      <c r="M336" s="10"/>
    </row>
    <row r="337" spans="1:13" x14ac:dyDescent="0.25">
      <c r="A337" s="10" t="s">
        <v>690</v>
      </c>
      <c r="B337" s="10" t="s">
        <v>691</v>
      </c>
      <c r="C337" s="10" t="s">
        <v>686</v>
      </c>
      <c r="D337" s="10" t="s">
        <v>688</v>
      </c>
      <c r="E337" s="10" t="s">
        <v>1</v>
      </c>
      <c r="F337" s="10"/>
      <c r="G337" s="10"/>
      <c r="H337" s="11"/>
      <c r="I337" s="11"/>
      <c r="J337" s="12"/>
      <c r="K337" s="13"/>
      <c r="L337" s="13"/>
      <c r="M337" s="10"/>
    </row>
    <row r="338" spans="1:13" x14ac:dyDescent="0.25">
      <c r="A338" s="10" t="s">
        <v>692</v>
      </c>
      <c r="B338" s="10" t="s">
        <v>693</v>
      </c>
      <c r="C338" s="10" t="s">
        <v>686</v>
      </c>
      <c r="D338" s="10" t="s">
        <v>690</v>
      </c>
      <c r="E338" s="10" t="s">
        <v>1</v>
      </c>
      <c r="F338" s="10"/>
      <c r="G338" s="10"/>
      <c r="H338" s="11"/>
      <c r="I338" s="11"/>
      <c r="J338" s="12"/>
      <c r="K338" s="13"/>
      <c r="L338" s="13"/>
      <c r="M338" s="10"/>
    </row>
    <row r="339" spans="1:13" x14ac:dyDescent="0.25">
      <c r="A339" s="10" t="s">
        <v>694</v>
      </c>
      <c r="B339" s="10" t="s">
        <v>695</v>
      </c>
      <c r="C339" s="10" t="s">
        <v>686</v>
      </c>
      <c r="D339" s="10" t="s">
        <v>692</v>
      </c>
      <c r="E339" s="10" t="s">
        <v>1</v>
      </c>
      <c r="F339" s="10"/>
      <c r="G339" s="10"/>
      <c r="H339" s="11"/>
      <c r="I339" s="11"/>
      <c r="J339" s="12"/>
      <c r="K339" s="13"/>
      <c r="L339" s="13"/>
      <c r="M339" s="10"/>
    </row>
    <row r="340" spans="1:13" x14ac:dyDescent="0.25">
      <c r="A340" s="10" t="s">
        <v>696</v>
      </c>
      <c r="B340" s="10" t="s">
        <v>697</v>
      </c>
      <c r="C340" s="10" t="s">
        <v>686</v>
      </c>
      <c r="D340" s="10" t="s">
        <v>694</v>
      </c>
      <c r="E340" s="10" t="s">
        <v>1</v>
      </c>
      <c r="F340" s="10"/>
      <c r="G340" s="10"/>
      <c r="H340" s="11"/>
      <c r="I340" s="11"/>
      <c r="J340" s="12"/>
      <c r="K340" s="13"/>
      <c r="L340" s="13"/>
      <c r="M340" s="10"/>
    </row>
    <row r="341" spans="1:13" x14ac:dyDescent="0.25">
      <c r="A341" s="10" t="s">
        <v>698</v>
      </c>
      <c r="B341" s="10" t="s">
        <v>699</v>
      </c>
      <c r="C341" s="10" t="s">
        <v>686</v>
      </c>
      <c r="D341" s="10" t="s">
        <v>696</v>
      </c>
      <c r="E341" s="10" t="s">
        <v>1</v>
      </c>
      <c r="F341" s="10"/>
      <c r="G341" s="10"/>
      <c r="H341" s="11"/>
      <c r="I341" s="11"/>
      <c r="J341" s="12"/>
      <c r="K341" s="13"/>
      <c r="L341" s="13"/>
      <c r="M341" s="10"/>
    </row>
    <row r="342" spans="1:13" x14ac:dyDescent="0.25">
      <c r="A342" s="10" t="s">
        <v>700</v>
      </c>
      <c r="B342" s="10" t="s">
        <v>701</v>
      </c>
      <c r="C342" s="10" t="s">
        <v>686</v>
      </c>
      <c r="D342" s="10" t="s">
        <v>698</v>
      </c>
      <c r="E342" s="10" t="s">
        <v>1</v>
      </c>
      <c r="F342" s="10"/>
      <c r="G342" s="10"/>
      <c r="H342" s="11"/>
      <c r="I342" s="11"/>
      <c r="J342" s="12"/>
      <c r="K342" s="13"/>
      <c r="L342" s="13"/>
      <c r="M342" s="10"/>
    </row>
    <row r="343" spans="1:13" x14ac:dyDescent="0.25">
      <c r="A343" s="10" t="s">
        <v>702</v>
      </c>
      <c r="B343" s="10" t="s">
        <v>703</v>
      </c>
      <c r="C343" s="10" t="s">
        <v>686</v>
      </c>
      <c r="D343" s="10" t="s">
        <v>700</v>
      </c>
      <c r="E343" s="10" t="s">
        <v>1</v>
      </c>
      <c r="F343" s="10"/>
      <c r="G343" s="10"/>
      <c r="H343" s="11"/>
      <c r="I343" s="11"/>
      <c r="J343" s="12"/>
      <c r="K343" s="13"/>
      <c r="L343" s="13"/>
      <c r="M343" s="10"/>
    </row>
    <row r="344" spans="1:13" x14ac:dyDescent="0.25">
      <c r="A344" s="2" t="s">
        <v>704</v>
      </c>
      <c r="B344" s="2" t="s">
        <v>705</v>
      </c>
      <c r="C344" s="2"/>
      <c r="D344" s="2"/>
      <c r="E344" s="2" t="s">
        <v>15</v>
      </c>
      <c r="F344" s="2"/>
      <c r="G344" s="2"/>
      <c r="H344" s="3"/>
      <c r="I344" s="3"/>
      <c r="J344" s="4"/>
      <c r="K344" s="5"/>
      <c r="L344" s="5"/>
      <c r="M344" s="2"/>
    </row>
    <row r="345" spans="1:13" x14ac:dyDescent="0.25">
      <c r="A345" s="6" t="s">
        <v>706</v>
      </c>
      <c r="B345" s="6" t="s">
        <v>707</v>
      </c>
      <c r="C345" s="6" t="s">
        <v>704</v>
      </c>
      <c r="D345" s="6" t="s">
        <v>626</v>
      </c>
      <c r="E345" s="6" t="s">
        <v>18</v>
      </c>
      <c r="F345" s="6"/>
      <c r="G345" s="6"/>
      <c r="H345" s="7"/>
      <c r="I345" s="7"/>
      <c r="J345" s="8"/>
      <c r="K345" s="9"/>
      <c r="L345" s="9"/>
      <c r="M345" s="6"/>
    </row>
    <row r="346" spans="1:13" x14ac:dyDescent="0.25">
      <c r="A346" s="10" t="s">
        <v>708</v>
      </c>
      <c r="B346" s="10" t="s">
        <v>709</v>
      </c>
      <c r="C346" s="10" t="s">
        <v>706</v>
      </c>
      <c r="D346" s="10" t="s">
        <v>56</v>
      </c>
      <c r="E346" s="10" t="s">
        <v>1</v>
      </c>
      <c r="F346" s="10"/>
      <c r="G346" s="10"/>
      <c r="H346" s="11"/>
      <c r="I346" s="11"/>
      <c r="J346" s="12"/>
      <c r="K346" s="13"/>
      <c r="L346" s="13"/>
      <c r="M346" s="10"/>
    </row>
    <row r="347" spans="1:13" x14ac:dyDescent="0.25">
      <c r="A347" s="10" t="s">
        <v>710</v>
      </c>
      <c r="B347" s="10" t="s">
        <v>711</v>
      </c>
      <c r="C347" s="10" t="s">
        <v>706</v>
      </c>
      <c r="D347" s="10" t="s">
        <v>56</v>
      </c>
      <c r="E347" s="10" t="s">
        <v>1</v>
      </c>
      <c r="F347" s="10"/>
      <c r="G347" s="10"/>
      <c r="H347" s="11"/>
      <c r="I347" s="11"/>
      <c r="J347" s="12"/>
      <c r="K347" s="13"/>
      <c r="L347" s="13"/>
      <c r="M347" s="10"/>
    </row>
    <row r="348" spans="1:13" x14ac:dyDescent="0.25">
      <c r="A348" s="10" t="s">
        <v>712</v>
      </c>
      <c r="B348" s="10" t="s">
        <v>713</v>
      </c>
      <c r="C348" s="10" t="s">
        <v>706</v>
      </c>
      <c r="D348" s="10" t="s">
        <v>56</v>
      </c>
      <c r="E348" s="10" t="s">
        <v>1</v>
      </c>
      <c r="F348" s="10"/>
      <c r="G348" s="10"/>
      <c r="H348" s="11"/>
      <c r="I348" s="11"/>
      <c r="J348" s="12"/>
      <c r="K348" s="13"/>
      <c r="L348" s="13"/>
      <c r="M348" s="10"/>
    </row>
    <row r="349" spans="1:13" x14ac:dyDescent="0.25">
      <c r="A349" s="10" t="s">
        <v>714</v>
      </c>
      <c r="B349" s="10" t="s">
        <v>715</v>
      </c>
      <c r="C349" s="10" t="s">
        <v>706</v>
      </c>
      <c r="D349" s="10" t="s">
        <v>56</v>
      </c>
      <c r="E349" s="10" t="s">
        <v>1</v>
      </c>
      <c r="F349" s="10"/>
      <c r="G349" s="10"/>
      <c r="H349" s="11"/>
      <c r="I349" s="11"/>
      <c r="J349" s="12"/>
      <c r="K349" s="13"/>
      <c r="L349" s="13"/>
      <c r="M349" s="10"/>
    </row>
    <row r="350" spans="1:13" x14ac:dyDescent="0.25">
      <c r="A350" s="10" t="s">
        <v>716</v>
      </c>
      <c r="B350" s="10" t="s">
        <v>717</v>
      </c>
      <c r="C350" s="10" t="s">
        <v>706</v>
      </c>
      <c r="D350" s="10" t="s">
        <v>499</v>
      </c>
      <c r="E350" s="10" t="s">
        <v>1</v>
      </c>
      <c r="F350" s="10"/>
      <c r="G350" s="10"/>
      <c r="H350" s="11"/>
      <c r="I350" s="11"/>
      <c r="J350" s="12"/>
      <c r="K350" s="13"/>
      <c r="L350" s="13"/>
      <c r="M350" s="10"/>
    </row>
    <row r="351" spans="1:13" x14ac:dyDescent="0.25">
      <c r="A351" s="10" t="s">
        <v>718</v>
      </c>
      <c r="B351" s="10" t="s">
        <v>719</v>
      </c>
      <c r="C351" s="10" t="s">
        <v>706</v>
      </c>
      <c r="D351" s="10" t="s">
        <v>626</v>
      </c>
      <c r="E351" s="10" t="s">
        <v>1</v>
      </c>
      <c r="F351" s="10"/>
      <c r="G351" s="10"/>
      <c r="H351" s="11"/>
      <c r="I351" s="11"/>
      <c r="J351" s="12"/>
      <c r="K351" s="13"/>
      <c r="L351" s="13"/>
      <c r="M351" s="10"/>
    </row>
    <row r="352" spans="1:13" x14ac:dyDescent="0.25">
      <c r="A352" s="10" t="s">
        <v>720</v>
      </c>
      <c r="B352" s="10" t="s">
        <v>721</v>
      </c>
      <c r="C352" s="10" t="s">
        <v>706</v>
      </c>
      <c r="D352" s="10" t="s">
        <v>626</v>
      </c>
      <c r="E352" s="10" t="s">
        <v>1</v>
      </c>
      <c r="F352" s="10"/>
      <c r="G352" s="10"/>
      <c r="H352" s="11"/>
      <c r="I352" s="11"/>
      <c r="J352" s="12"/>
      <c r="K352" s="13"/>
      <c r="L352" s="13"/>
      <c r="M352" s="10"/>
    </row>
    <row r="353" spans="1:13" x14ac:dyDescent="0.25">
      <c r="A353" s="10" t="s">
        <v>722</v>
      </c>
      <c r="B353" s="10" t="s">
        <v>723</v>
      </c>
      <c r="C353" s="10" t="s">
        <v>706</v>
      </c>
      <c r="D353" s="10" t="s">
        <v>626</v>
      </c>
      <c r="E353" s="10" t="s">
        <v>1</v>
      </c>
      <c r="F353" s="10"/>
      <c r="G353" s="10"/>
      <c r="H353" s="11"/>
      <c r="I353" s="11"/>
      <c r="J353" s="12"/>
      <c r="K353" s="13"/>
      <c r="L353" s="13"/>
      <c r="M353" s="10"/>
    </row>
    <row r="354" spans="1:13" x14ac:dyDescent="0.25">
      <c r="A354" s="10" t="s">
        <v>724</v>
      </c>
      <c r="B354" s="10" t="s">
        <v>725</v>
      </c>
      <c r="C354" s="10" t="s">
        <v>706</v>
      </c>
      <c r="D354" s="10" t="s">
        <v>57</v>
      </c>
      <c r="E354" s="10" t="s">
        <v>1</v>
      </c>
      <c r="F354" s="10"/>
      <c r="G354" s="10"/>
      <c r="H354" s="11"/>
      <c r="I354" s="11"/>
      <c r="J354" s="12"/>
      <c r="K354" s="13"/>
      <c r="L354" s="13"/>
      <c r="M354" s="10"/>
    </row>
    <row r="355" spans="1:13" x14ac:dyDescent="0.25">
      <c r="A355" s="10" t="s">
        <v>726</v>
      </c>
      <c r="B355" s="10" t="s">
        <v>727</v>
      </c>
      <c r="C355" s="10" t="s">
        <v>706</v>
      </c>
      <c r="D355" s="10" t="s">
        <v>626</v>
      </c>
      <c r="E355" s="10" t="s">
        <v>1</v>
      </c>
      <c r="F355" s="10"/>
      <c r="G355" s="10"/>
      <c r="H355" s="11"/>
      <c r="I355" s="11"/>
      <c r="J355" s="12"/>
      <c r="K355" s="13"/>
      <c r="L355" s="13"/>
      <c r="M355" s="10"/>
    </row>
    <row r="356" spans="1:13" x14ac:dyDescent="0.25">
      <c r="A356" s="6" t="s">
        <v>728</v>
      </c>
      <c r="B356" s="6" t="s">
        <v>331</v>
      </c>
      <c r="C356" s="6" t="s">
        <v>704</v>
      </c>
      <c r="D356" s="6" t="s">
        <v>729</v>
      </c>
      <c r="E356" s="6" t="s">
        <v>18</v>
      </c>
      <c r="F356" s="6"/>
      <c r="G356" s="6"/>
      <c r="H356" s="7"/>
      <c r="I356" s="7"/>
      <c r="J356" s="8"/>
      <c r="K356" s="9"/>
      <c r="L356" s="9"/>
      <c r="M356" s="6"/>
    </row>
    <row r="357" spans="1:13" x14ac:dyDescent="0.25">
      <c r="A357" s="10" t="s">
        <v>730</v>
      </c>
      <c r="B357" s="10" t="s">
        <v>731</v>
      </c>
      <c r="C357" s="10" t="s">
        <v>728</v>
      </c>
      <c r="D357" s="10" t="s">
        <v>729</v>
      </c>
      <c r="E357" s="10" t="s">
        <v>1</v>
      </c>
      <c r="F357" s="10"/>
      <c r="G357" s="10"/>
      <c r="H357" s="11"/>
      <c r="I357" s="11"/>
      <c r="J357" s="12"/>
      <c r="K357" s="13"/>
      <c r="L357" s="13"/>
      <c r="M357" s="10"/>
    </row>
    <row r="358" spans="1:13" x14ac:dyDescent="0.25">
      <c r="A358" s="10" t="s">
        <v>732</v>
      </c>
      <c r="B358" s="10" t="s">
        <v>733</v>
      </c>
      <c r="C358" s="10" t="s">
        <v>728</v>
      </c>
      <c r="D358" s="10" t="s">
        <v>730</v>
      </c>
      <c r="E358" s="10" t="s">
        <v>1</v>
      </c>
      <c r="F358" s="10"/>
      <c r="G358" s="10"/>
      <c r="H358" s="11"/>
      <c r="I358" s="11"/>
      <c r="J358" s="12"/>
      <c r="K358" s="13"/>
      <c r="L358" s="13"/>
      <c r="M358" s="10"/>
    </row>
    <row r="359" spans="1:13" x14ac:dyDescent="0.25">
      <c r="A359" s="10" t="s">
        <v>734</v>
      </c>
      <c r="B359" s="10" t="s">
        <v>735</v>
      </c>
      <c r="C359" s="10" t="s">
        <v>728</v>
      </c>
      <c r="D359" s="10" t="s">
        <v>732</v>
      </c>
      <c r="E359" s="10" t="s">
        <v>1</v>
      </c>
      <c r="F359" s="10"/>
      <c r="G359" s="10"/>
      <c r="H359" s="11"/>
      <c r="I359" s="11"/>
      <c r="J359" s="12"/>
      <c r="K359" s="13"/>
      <c r="L359" s="13"/>
      <c r="M359" s="10"/>
    </row>
    <row r="360" spans="1:13" x14ac:dyDescent="0.25">
      <c r="A360" s="10" t="s">
        <v>736</v>
      </c>
      <c r="B360" s="10" t="s">
        <v>737</v>
      </c>
      <c r="C360" s="10" t="s">
        <v>728</v>
      </c>
      <c r="D360" s="10" t="s">
        <v>734</v>
      </c>
      <c r="E360" s="10" t="s">
        <v>60</v>
      </c>
      <c r="F360" s="10"/>
      <c r="G360" s="10"/>
      <c r="H360" s="11"/>
      <c r="I360" s="11"/>
      <c r="J360" s="12"/>
      <c r="K360" s="13"/>
      <c r="L360" s="13"/>
      <c r="M360" s="10"/>
    </row>
    <row r="361" spans="1:13" x14ac:dyDescent="0.25">
      <c r="A361" s="6" t="s">
        <v>738</v>
      </c>
      <c r="B361" s="6" t="s">
        <v>739</v>
      </c>
      <c r="C361" s="6" t="s">
        <v>704</v>
      </c>
      <c r="D361" s="6" t="s">
        <v>736</v>
      </c>
      <c r="E361" s="6" t="s">
        <v>18</v>
      </c>
      <c r="F361" s="6"/>
      <c r="G361" s="6"/>
      <c r="H361" s="7"/>
      <c r="I361" s="7"/>
      <c r="J361" s="8"/>
      <c r="K361" s="9"/>
      <c r="L361" s="9"/>
      <c r="M361" s="6"/>
    </row>
    <row r="362" spans="1:13" x14ac:dyDescent="0.25">
      <c r="A362" s="10" t="s">
        <v>740</v>
      </c>
      <c r="B362" s="10" t="s">
        <v>741</v>
      </c>
      <c r="C362" s="10" t="s">
        <v>738</v>
      </c>
      <c r="D362" s="10" t="s">
        <v>736</v>
      </c>
      <c r="E362" s="10" t="s">
        <v>1</v>
      </c>
      <c r="F362" s="10"/>
      <c r="G362" s="10"/>
      <c r="H362" s="11"/>
      <c r="I362" s="11"/>
      <c r="J362" s="12"/>
      <c r="K362" s="13"/>
      <c r="L362" s="13"/>
      <c r="M362" s="10"/>
    </row>
    <row r="363" spans="1:13" x14ac:dyDescent="0.25">
      <c r="A363" s="10" t="s">
        <v>742</v>
      </c>
      <c r="B363" s="10" t="s">
        <v>743</v>
      </c>
      <c r="C363" s="10" t="s">
        <v>738</v>
      </c>
      <c r="D363" s="10" t="s">
        <v>744</v>
      </c>
      <c r="E363" s="10" t="s">
        <v>1</v>
      </c>
      <c r="F363" s="10"/>
      <c r="G363" s="10"/>
      <c r="H363" s="11"/>
      <c r="I363" s="11"/>
      <c r="J363" s="12"/>
      <c r="K363" s="13"/>
      <c r="L363" s="13"/>
      <c r="M363" s="10"/>
    </row>
    <row r="364" spans="1:13" x14ac:dyDescent="0.25">
      <c r="A364" s="10" t="s">
        <v>745</v>
      </c>
      <c r="B364" s="10" t="s">
        <v>746</v>
      </c>
      <c r="C364" s="10" t="s">
        <v>738</v>
      </c>
      <c r="D364" s="10" t="s">
        <v>740</v>
      </c>
      <c r="E364" s="10" t="s">
        <v>1</v>
      </c>
      <c r="F364" s="10"/>
      <c r="G364" s="10"/>
      <c r="H364" s="11"/>
      <c r="I364" s="11"/>
      <c r="J364" s="12"/>
      <c r="K364" s="13"/>
      <c r="L364" s="13"/>
      <c r="M364" s="10"/>
    </row>
    <row r="365" spans="1:13" x14ac:dyDescent="0.25">
      <c r="A365" s="10" t="s">
        <v>747</v>
      </c>
      <c r="B365" s="10" t="s">
        <v>748</v>
      </c>
      <c r="C365" s="10" t="s">
        <v>738</v>
      </c>
      <c r="D365" s="10" t="s">
        <v>740</v>
      </c>
      <c r="E365" s="10" t="s">
        <v>1</v>
      </c>
      <c r="F365" s="10"/>
      <c r="G365" s="10"/>
      <c r="H365" s="11"/>
      <c r="I365" s="11"/>
      <c r="J365" s="12"/>
      <c r="K365" s="13"/>
      <c r="L365" s="13"/>
      <c r="M365" s="10"/>
    </row>
    <row r="366" spans="1:13" x14ac:dyDescent="0.25">
      <c r="A366" s="10" t="s">
        <v>749</v>
      </c>
      <c r="B366" s="10" t="s">
        <v>750</v>
      </c>
      <c r="C366" s="10" t="s">
        <v>738</v>
      </c>
      <c r="D366" s="10" t="s">
        <v>378</v>
      </c>
      <c r="E366" s="10" t="s">
        <v>1</v>
      </c>
      <c r="F366" s="10"/>
      <c r="G366" s="10"/>
      <c r="H366" s="11"/>
      <c r="I366" s="11"/>
      <c r="J366" s="12"/>
      <c r="K366" s="13"/>
      <c r="L366" s="13"/>
      <c r="M366" s="10"/>
    </row>
    <row r="367" spans="1:13" x14ac:dyDescent="0.25">
      <c r="A367" s="10" t="s">
        <v>751</v>
      </c>
      <c r="B367" s="10" t="s">
        <v>379</v>
      </c>
      <c r="C367" s="10" t="s">
        <v>738</v>
      </c>
      <c r="D367" s="10" t="s">
        <v>752</v>
      </c>
      <c r="E367" s="10" t="s">
        <v>60</v>
      </c>
      <c r="F367" s="10"/>
      <c r="G367" s="10"/>
      <c r="H367" s="11"/>
      <c r="I367" s="11"/>
      <c r="J367" s="12"/>
      <c r="K367" s="13"/>
      <c r="L367" s="13"/>
      <c r="M367" s="10"/>
    </row>
  </sheetData>
  <autoFilter ref="A1:M367"/>
  <dataValidations disablePrompts="1" count="1">
    <dataValidation type="decimal" allowBlank="1" errorTitle="Percentual inválido" error="Informe um valor entre 0% e 100%." sqref="J2:J367">
      <formula1>0</formula1>
      <formula2>1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105"/>
  <sheetViews>
    <sheetView showGridLines="0" zoomScale="85" zoomScaleNormal="85" workbookViewId="0">
      <pane ySplit="1" topLeftCell="A71" activePane="bottomLeft" state="frozen"/>
      <selection activeCell="C1" sqref="C1"/>
      <selection pane="bottomLeft" activeCell="H106" sqref="H106"/>
    </sheetView>
  </sheetViews>
  <sheetFormatPr defaultRowHeight="15" x14ac:dyDescent="0.25"/>
  <cols>
    <col min="1" max="1" width="23.85546875" customWidth="1"/>
    <col min="2" max="2" width="9.140625" style="14"/>
    <col min="3" max="3" width="27.7109375" style="14" bestFit="1" customWidth="1"/>
    <col min="4" max="4" width="92" customWidth="1"/>
    <col min="5" max="5" width="16" style="14" bestFit="1" customWidth="1"/>
    <col min="6" max="6" width="13.140625" style="14" bestFit="1" customWidth="1"/>
    <col min="7" max="7" width="18.42578125" style="15" bestFit="1" customWidth="1"/>
    <col min="8" max="8" width="18.42578125" style="15" customWidth="1"/>
    <col min="9" max="9" width="23.85546875" style="14" customWidth="1"/>
    <col min="10" max="10" width="43.7109375" style="14" bestFit="1" customWidth="1"/>
    <col min="11" max="11" width="16.28515625" style="14" customWidth="1"/>
    <col min="12" max="12" width="55.5703125" style="24" customWidth="1"/>
    <col min="13" max="13" width="54.42578125" style="14" customWidth="1"/>
    <col min="14" max="15" width="16" style="14" customWidth="1"/>
  </cols>
  <sheetData>
    <row r="1" spans="2:12" s="15" customFormat="1" ht="27.75" customHeight="1" x14ac:dyDescent="0.25">
      <c r="B1" s="15" t="s">
        <v>753</v>
      </c>
      <c r="C1" s="15" t="s">
        <v>795</v>
      </c>
      <c r="D1" s="15" t="s">
        <v>858</v>
      </c>
      <c r="E1" s="15" t="s">
        <v>755</v>
      </c>
      <c r="F1" s="15" t="s">
        <v>756</v>
      </c>
      <c r="G1" s="15" t="s">
        <v>764</v>
      </c>
      <c r="H1" s="15" t="s">
        <v>765</v>
      </c>
      <c r="I1" s="15" t="s">
        <v>767</v>
      </c>
      <c r="J1" s="15" t="s">
        <v>924</v>
      </c>
    </row>
    <row r="2" spans="2:12" x14ac:dyDescent="0.25">
      <c r="B2" s="17">
        <v>1</v>
      </c>
      <c r="C2" s="17"/>
      <c r="D2" s="19" t="s">
        <v>787</v>
      </c>
      <c r="E2" s="18">
        <v>1</v>
      </c>
      <c r="F2" s="18" t="s">
        <v>760</v>
      </c>
      <c r="G2" s="20"/>
      <c r="H2" s="20">
        <f t="shared" ref="H2:H33" si="0">G2*E2</f>
        <v>0</v>
      </c>
      <c r="I2" s="18" t="s">
        <v>798</v>
      </c>
      <c r="J2" s="27"/>
      <c r="K2" s="27"/>
      <c r="L2" s="24" t="s">
        <v>860</v>
      </c>
    </row>
    <row r="3" spans="2:12" x14ac:dyDescent="0.25">
      <c r="B3" s="17">
        <v>2</v>
      </c>
      <c r="C3" s="17"/>
      <c r="D3" s="50" t="s">
        <v>819</v>
      </c>
      <c r="E3" s="17">
        <v>1</v>
      </c>
      <c r="F3" s="17" t="s">
        <v>760</v>
      </c>
      <c r="G3" s="44">
        <v>486032</v>
      </c>
      <c r="H3" s="44">
        <f t="shared" si="0"/>
        <v>486032</v>
      </c>
      <c r="I3" s="31" t="s">
        <v>920</v>
      </c>
      <c r="J3" s="27"/>
      <c r="K3" s="27"/>
    </row>
    <row r="4" spans="2:12" x14ac:dyDescent="0.25">
      <c r="B4" s="17">
        <v>3</v>
      </c>
      <c r="C4" s="17"/>
      <c r="D4" s="50" t="s">
        <v>821</v>
      </c>
      <c r="E4" s="17">
        <v>1</v>
      </c>
      <c r="F4" s="17" t="s">
        <v>760</v>
      </c>
      <c r="G4" s="44">
        <v>8650</v>
      </c>
      <c r="H4" s="44">
        <f t="shared" si="0"/>
        <v>8650</v>
      </c>
      <c r="I4" s="31" t="s">
        <v>920</v>
      </c>
      <c r="J4" s="27"/>
      <c r="K4" s="27"/>
    </row>
    <row r="5" spans="2:12" x14ac:dyDescent="0.25">
      <c r="B5" s="17">
        <v>4</v>
      </c>
      <c r="C5" s="17"/>
      <c r="D5" s="50" t="s">
        <v>820</v>
      </c>
      <c r="E5" s="17">
        <v>6</v>
      </c>
      <c r="F5" s="17" t="s">
        <v>760</v>
      </c>
      <c r="G5" s="44">
        <v>21938</v>
      </c>
      <c r="H5" s="44">
        <f t="shared" si="0"/>
        <v>131628</v>
      </c>
      <c r="I5" s="17" t="s">
        <v>835</v>
      </c>
      <c r="J5" s="27"/>
      <c r="K5" s="27"/>
    </row>
    <row r="6" spans="2:12" x14ac:dyDescent="0.25">
      <c r="B6" s="17">
        <v>5</v>
      </c>
      <c r="C6" s="17"/>
      <c r="D6" s="50" t="s">
        <v>899</v>
      </c>
      <c r="E6" s="17">
        <v>1</v>
      </c>
      <c r="F6" s="17" t="s">
        <v>760</v>
      </c>
      <c r="G6" s="44">
        <v>11180</v>
      </c>
      <c r="H6" s="44">
        <f t="shared" si="0"/>
        <v>11180</v>
      </c>
      <c r="I6" s="17" t="s">
        <v>835</v>
      </c>
      <c r="J6" s="27"/>
      <c r="K6" s="27"/>
    </row>
    <row r="7" spans="2:12" x14ac:dyDescent="0.25">
      <c r="B7" s="17">
        <v>6</v>
      </c>
      <c r="C7" s="17"/>
      <c r="D7" s="19" t="s">
        <v>889</v>
      </c>
      <c r="E7" s="17">
        <v>250</v>
      </c>
      <c r="F7" s="17" t="s">
        <v>761</v>
      </c>
      <c r="G7" s="44">
        <v>55.57</v>
      </c>
      <c r="H7" s="44">
        <f t="shared" si="0"/>
        <v>13892.5</v>
      </c>
      <c r="I7" s="17" t="s">
        <v>835</v>
      </c>
      <c r="J7" s="27"/>
      <c r="K7" s="27"/>
    </row>
    <row r="8" spans="2:12" x14ac:dyDescent="0.25">
      <c r="B8" s="17">
        <v>7</v>
      </c>
      <c r="C8" s="18"/>
      <c r="D8" s="19" t="s">
        <v>888</v>
      </c>
      <c r="E8" s="18">
        <v>6</v>
      </c>
      <c r="F8" s="18" t="s">
        <v>760</v>
      </c>
      <c r="G8" s="25">
        <v>13855.22</v>
      </c>
      <c r="H8" s="51">
        <f t="shared" si="0"/>
        <v>83131.319999999992</v>
      </c>
      <c r="I8" s="17" t="s">
        <v>835</v>
      </c>
      <c r="J8" s="27"/>
      <c r="K8" s="27"/>
    </row>
    <row r="9" spans="2:12" x14ac:dyDescent="0.25">
      <c r="B9" s="17">
        <v>8</v>
      </c>
      <c r="C9" s="18"/>
      <c r="D9" s="19" t="s">
        <v>886</v>
      </c>
      <c r="E9" s="18">
        <v>1</v>
      </c>
      <c r="F9" s="18" t="s">
        <v>760</v>
      </c>
      <c r="G9" s="25">
        <v>111260.98</v>
      </c>
      <c r="H9" s="51">
        <f t="shared" si="0"/>
        <v>111260.98</v>
      </c>
      <c r="I9" s="17" t="s">
        <v>835</v>
      </c>
      <c r="J9" s="27"/>
      <c r="K9" s="27"/>
    </row>
    <row r="10" spans="2:12" x14ac:dyDescent="0.25">
      <c r="B10" s="17">
        <v>9</v>
      </c>
      <c r="C10" s="18"/>
      <c r="D10" s="19" t="s">
        <v>887</v>
      </c>
      <c r="E10" s="18">
        <v>300</v>
      </c>
      <c r="F10" s="18" t="s">
        <v>761</v>
      </c>
      <c r="G10" s="25">
        <v>55.57</v>
      </c>
      <c r="H10" s="51">
        <f t="shared" si="0"/>
        <v>16671</v>
      </c>
      <c r="I10" s="17" t="s">
        <v>835</v>
      </c>
      <c r="J10" s="27"/>
      <c r="K10" s="27"/>
    </row>
    <row r="11" spans="2:12" x14ac:dyDescent="0.25">
      <c r="B11" s="17">
        <v>10</v>
      </c>
      <c r="C11" s="18"/>
      <c r="D11" s="19" t="s">
        <v>838</v>
      </c>
      <c r="E11" s="18">
        <v>1</v>
      </c>
      <c r="F11" s="18" t="s">
        <v>760</v>
      </c>
      <c r="G11" s="25">
        <v>27412.5</v>
      </c>
      <c r="H11" s="51">
        <f t="shared" si="0"/>
        <v>27412.5</v>
      </c>
      <c r="I11" s="17" t="s">
        <v>835</v>
      </c>
      <c r="J11" s="27"/>
      <c r="K11" s="27"/>
    </row>
    <row r="12" spans="2:12" x14ac:dyDescent="0.25">
      <c r="B12" s="17">
        <v>11</v>
      </c>
      <c r="C12" s="18"/>
      <c r="D12" s="19" t="s">
        <v>757</v>
      </c>
      <c r="E12" s="52">
        <f>(1075*0.15)*1.1</f>
        <v>177.37500000000003</v>
      </c>
      <c r="F12" s="18" t="s">
        <v>759</v>
      </c>
      <c r="G12" s="25">
        <v>670</v>
      </c>
      <c r="H12" s="25">
        <f t="shared" si="0"/>
        <v>118841.25000000001</v>
      </c>
      <c r="I12" s="18" t="s">
        <v>835</v>
      </c>
      <c r="J12" s="27"/>
      <c r="K12" s="27"/>
    </row>
    <row r="13" spans="2:12" x14ac:dyDescent="0.25">
      <c r="B13" s="17">
        <v>12</v>
      </c>
      <c r="C13" s="18"/>
      <c r="D13" s="50" t="s">
        <v>775</v>
      </c>
      <c r="E13" s="52">
        <f>1075/13*2</f>
        <v>165.38461538461539</v>
      </c>
      <c r="F13" s="18" t="s">
        <v>760</v>
      </c>
      <c r="G13" s="25">
        <v>220.5</v>
      </c>
      <c r="H13" s="25">
        <f t="shared" si="0"/>
        <v>36467.307692307695</v>
      </c>
      <c r="I13" s="18" t="s">
        <v>835</v>
      </c>
      <c r="J13" s="27"/>
      <c r="K13" s="27"/>
    </row>
    <row r="14" spans="2:12" x14ac:dyDescent="0.25">
      <c r="B14" s="17">
        <v>13</v>
      </c>
      <c r="C14" s="18"/>
      <c r="D14" s="50" t="s">
        <v>758</v>
      </c>
      <c r="E14" s="52">
        <f>(20*53)/12</f>
        <v>88.333333333333329</v>
      </c>
      <c r="F14" s="18" t="s">
        <v>760</v>
      </c>
      <c r="G14" s="25">
        <v>56.2</v>
      </c>
      <c r="H14" s="25">
        <f t="shared" si="0"/>
        <v>4964.333333333333</v>
      </c>
      <c r="I14" s="18" t="s">
        <v>835</v>
      </c>
      <c r="J14" s="27"/>
      <c r="K14" s="27"/>
    </row>
    <row r="15" spans="2:12" x14ac:dyDescent="0.25">
      <c r="B15" s="17">
        <v>14</v>
      </c>
      <c r="C15" s="18"/>
      <c r="D15" s="50" t="s">
        <v>792</v>
      </c>
      <c r="E15" s="52">
        <f>E12</f>
        <v>177.37500000000003</v>
      </c>
      <c r="F15" s="18" t="s">
        <v>760</v>
      </c>
      <c r="G15" s="25">
        <v>50</v>
      </c>
      <c r="H15" s="25">
        <f t="shared" si="0"/>
        <v>8868.7500000000018</v>
      </c>
      <c r="I15" s="18" t="s">
        <v>835</v>
      </c>
      <c r="J15" s="27"/>
      <c r="K15" s="27"/>
    </row>
    <row r="16" spans="2:12" x14ac:dyDescent="0.25">
      <c r="B16" s="17">
        <v>15</v>
      </c>
      <c r="C16" s="17"/>
      <c r="D16" s="19" t="s">
        <v>839</v>
      </c>
      <c r="E16" s="18">
        <v>1</v>
      </c>
      <c r="F16" s="18" t="s">
        <v>760</v>
      </c>
      <c r="G16" s="25">
        <v>67000</v>
      </c>
      <c r="H16" s="25">
        <f t="shared" si="0"/>
        <v>67000</v>
      </c>
      <c r="I16" s="18" t="s">
        <v>835</v>
      </c>
      <c r="J16" s="27"/>
      <c r="K16" s="27"/>
    </row>
    <row r="17" spans="2:12" x14ac:dyDescent="0.25">
      <c r="B17" s="17">
        <v>16</v>
      </c>
      <c r="C17" s="18"/>
      <c r="D17" s="19" t="s">
        <v>884</v>
      </c>
      <c r="E17" s="18">
        <v>1</v>
      </c>
      <c r="F17" s="18" t="s">
        <v>760</v>
      </c>
      <c r="G17" s="25">
        <v>48600</v>
      </c>
      <c r="H17" s="51">
        <f t="shared" si="0"/>
        <v>48600</v>
      </c>
      <c r="I17" s="18" t="s">
        <v>835</v>
      </c>
      <c r="J17" s="27"/>
      <c r="K17" s="27"/>
    </row>
    <row r="18" spans="2:12" x14ac:dyDescent="0.25">
      <c r="B18" s="17"/>
      <c r="C18" s="18"/>
      <c r="D18" s="19" t="s">
        <v>918</v>
      </c>
      <c r="E18" s="18">
        <v>1</v>
      </c>
      <c r="F18" s="18" t="s">
        <v>760</v>
      </c>
      <c r="G18" s="25">
        <v>48600</v>
      </c>
      <c r="H18" s="51">
        <f t="shared" si="0"/>
        <v>48600</v>
      </c>
      <c r="I18" s="18" t="s">
        <v>835</v>
      </c>
      <c r="J18" s="27"/>
      <c r="K18" s="27"/>
    </row>
    <row r="19" spans="2:12" x14ac:dyDescent="0.25">
      <c r="B19" s="17">
        <v>17</v>
      </c>
      <c r="C19" s="18"/>
      <c r="D19" s="19" t="s">
        <v>885</v>
      </c>
      <c r="E19" s="18">
        <v>50</v>
      </c>
      <c r="F19" s="18" t="s">
        <v>760</v>
      </c>
      <c r="G19" s="25">
        <v>243.39</v>
      </c>
      <c r="H19" s="51">
        <f t="shared" si="0"/>
        <v>12169.5</v>
      </c>
      <c r="I19" s="18" t="s">
        <v>835</v>
      </c>
      <c r="J19" s="27"/>
      <c r="K19" s="27"/>
    </row>
    <row r="20" spans="2:12" x14ac:dyDescent="0.25">
      <c r="B20" s="17">
        <v>18</v>
      </c>
      <c r="C20" s="18"/>
      <c r="D20" s="19" t="s">
        <v>880</v>
      </c>
      <c r="E20" s="18">
        <f>44*4</f>
        <v>176</v>
      </c>
      <c r="F20" s="18" t="s">
        <v>760</v>
      </c>
      <c r="G20" s="25">
        <v>38.119999999999997</v>
      </c>
      <c r="H20" s="51">
        <f t="shared" si="0"/>
        <v>6709.12</v>
      </c>
      <c r="I20" s="18" t="s">
        <v>835</v>
      </c>
      <c r="J20" s="27"/>
      <c r="K20" s="27"/>
    </row>
    <row r="21" spans="2:12" x14ac:dyDescent="0.25">
      <c r="B21" s="17">
        <v>19</v>
      </c>
      <c r="C21" s="18"/>
      <c r="D21" s="19" t="s">
        <v>824</v>
      </c>
      <c r="E21" s="18">
        <v>10</v>
      </c>
      <c r="F21" s="18" t="s">
        <v>760</v>
      </c>
      <c r="G21" s="25">
        <v>24</v>
      </c>
      <c r="H21" s="51">
        <f t="shared" si="0"/>
        <v>240</v>
      </c>
      <c r="I21" s="18" t="s">
        <v>835</v>
      </c>
      <c r="J21" s="27"/>
      <c r="K21" s="27"/>
      <c r="L21" s="24" t="s">
        <v>890</v>
      </c>
    </row>
    <row r="22" spans="2:12" x14ac:dyDescent="0.25">
      <c r="B22" s="17">
        <v>21</v>
      </c>
      <c r="C22" s="18" t="s">
        <v>877</v>
      </c>
      <c r="D22" s="19" t="s">
        <v>876</v>
      </c>
      <c r="E22" s="18">
        <v>36</v>
      </c>
      <c r="F22" s="18" t="s">
        <v>760</v>
      </c>
      <c r="G22" s="25">
        <v>243.39</v>
      </c>
      <c r="H22" s="51">
        <f t="shared" si="0"/>
        <v>8762.0399999999991</v>
      </c>
      <c r="I22" s="18" t="s">
        <v>835</v>
      </c>
      <c r="J22" s="27"/>
      <c r="K22" s="27"/>
    </row>
    <row r="23" spans="2:12" x14ac:dyDescent="0.25">
      <c r="B23" s="17">
        <v>22</v>
      </c>
      <c r="C23" s="18" t="s">
        <v>877</v>
      </c>
      <c r="D23" s="19" t="s">
        <v>856</v>
      </c>
      <c r="E23" s="18">
        <v>72</v>
      </c>
      <c r="F23" s="18" t="s">
        <v>761</v>
      </c>
      <c r="G23" s="25">
        <v>38.119999999999997</v>
      </c>
      <c r="H23" s="51">
        <f t="shared" si="0"/>
        <v>2744.64</v>
      </c>
      <c r="I23" s="18" t="s">
        <v>835</v>
      </c>
      <c r="J23" s="27"/>
      <c r="K23" s="27"/>
    </row>
    <row r="24" spans="2:12" x14ac:dyDescent="0.25">
      <c r="B24" s="17">
        <v>23</v>
      </c>
      <c r="C24" s="18" t="s">
        <v>877</v>
      </c>
      <c r="D24" s="19" t="s">
        <v>778</v>
      </c>
      <c r="E24" s="18">
        <v>36</v>
      </c>
      <c r="F24" s="18" t="s">
        <v>761</v>
      </c>
      <c r="G24" s="25">
        <v>32</v>
      </c>
      <c r="H24" s="51">
        <f t="shared" si="0"/>
        <v>1152</v>
      </c>
      <c r="I24" s="18" t="s">
        <v>835</v>
      </c>
      <c r="J24" s="27"/>
      <c r="K24" s="27"/>
    </row>
    <row r="25" spans="2:12" x14ac:dyDescent="0.25">
      <c r="B25" s="17">
        <v>24</v>
      </c>
      <c r="C25" s="18" t="s">
        <v>877</v>
      </c>
      <c r="D25" s="19" t="s">
        <v>871</v>
      </c>
      <c r="E25" s="18">
        <v>4</v>
      </c>
      <c r="F25" s="18" t="s">
        <v>760</v>
      </c>
      <c r="G25" s="25">
        <v>419</v>
      </c>
      <c r="H25" s="51">
        <f t="shared" si="0"/>
        <v>1676</v>
      </c>
      <c r="I25" s="18" t="s">
        <v>835</v>
      </c>
      <c r="J25" s="27"/>
      <c r="K25" s="27"/>
    </row>
    <row r="26" spans="2:12" x14ac:dyDescent="0.25">
      <c r="B26" s="17">
        <v>25</v>
      </c>
      <c r="C26" s="18" t="s">
        <v>877</v>
      </c>
      <c r="D26" s="19" t="s">
        <v>857</v>
      </c>
      <c r="E26" s="18">
        <f>8*6</f>
        <v>48</v>
      </c>
      <c r="F26" s="18" t="s">
        <v>761</v>
      </c>
      <c r="G26" s="25">
        <v>38.119999999999997</v>
      </c>
      <c r="H26" s="51">
        <f t="shared" si="0"/>
        <v>1829.7599999999998</v>
      </c>
      <c r="I26" s="18" t="s">
        <v>835</v>
      </c>
      <c r="J26" s="27"/>
      <c r="K26" s="27"/>
    </row>
    <row r="27" spans="2:12" x14ac:dyDescent="0.25">
      <c r="B27" s="17">
        <v>26</v>
      </c>
      <c r="C27" s="17"/>
      <c r="D27" s="19" t="s">
        <v>917</v>
      </c>
      <c r="E27" s="18">
        <v>2</v>
      </c>
      <c r="F27" s="18" t="s">
        <v>760</v>
      </c>
      <c r="G27" s="25">
        <v>65000</v>
      </c>
      <c r="H27" s="25">
        <f t="shared" si="0"/>
        <v>130000</v>
      </c>
      <c r="I27" s="18" t="s">
        <v>835</v>
      </c>
      <c r="J27" s="27"/>
      <c r="K27" s="27"/>
    </row>
    <row r="28" spans="2:12" x14ac:dyDescent="0.25">
      <c r="B28" s="17">
        <v>27</v>
      </c>
      <c r="C28" s="17" t="s">
        <v>878</v>
      </c>
      <c r="D28" s="50" t="s">
        <v>861</v>
      </c>
      <c r="E28" s="17">
        <v>58</v>
      </c>
      <c r="F28" s="17" t="s">
        <v>881</v>
      </c>
      <c r="G28" s="44">
        <v>198.72</v>
      </c>
      <c r="H28" s="44">
        <f t="shared" si="0"/>
        <v>11525.76</v>
      </c>
      <c r="I28" s="17" t="s">
        <v>868</v>
      </c>
      <c r="J28" s="27"/>
      <c r="K28" s="27"/>
    </row>
    <row r="29" spans="2:12" x14ac:dyDescent="0.25">
      <c r="B29" s="17">
        <v>28</v>
      </c>
      <c r="C29" s="17" t="s">
        <v>879</v>
      </c>
      <c r="D29" s="50" t="s">
        <v>864</v>
      </c>
      <c r="E29" s="17">
        <v>31</v>
      </c>
      <c r="F29" s="17" t="s">
        <v>881</v>
      </c>
      <c r="G29" s="44">
        <v>484.24</v>
      </c>
      <c r="H29" s="44">
        <f t="shared" si="0"/>
        <v>15011.44</v>
      </c>
      <c r="I29" s="17" t="s">
        <v>868</v>
      </c>
      <c r="J29" s="27"/>
      <c r="K29" s="27"/>
    </row>
    <row r="30" spans="2:12" x14ac:dyDescent="0.25">
      <c r="B30" s="17">
        <v>29</v>
      </c>
      <c r="C30" s="17" t="s">
        <v>879</v>
      </c>
      <c r="D30" s="50" t="s">
        <v>867</v>
      </c>
      <c r="E30" s="17">
        <v>28</v>
      </c>
      <c r="F30" s="17" t="s">
        <v>760</v>
      </c>
      <c r="G30" s="44">
        <v>703.93</v>
      </c>
      <c r="H30" s="44">
        <f t="shared" si="0"/>
        <v>19710.039999999997</v>
      </c>
      <c r="I30" s="17" t="s">
        <v>868</v>
      </c>
      <c r="J30" s="27"/>
      <c r="K30" s="27"/>
    </row>
    <row r="31" spans="2:12" x14ac:dyDescent="0.25">
      <c r="B31" s="17">
        <v>30</v>
      </c>
      <c r="C31" s="17" t="s">
        <v>878</v>
      </c>
      <c r="D31" s="50" t="s">
        <v>862</v>
      </c>
      <c r="E31" s="17">
        <f>28*3</f>
        <v>84</v>
      </c>
      <c r="F31" s="17" t="s">
        <v>760</v>
      </c>
      <c r="G31" s="44">
        <v>49.05</v>
      </c>
      <c r="H31" s="44">
        <f t="shared" si="0"/>
        <v>4120.2</v>
      </c>
      <c r="I31" s="17" t="s">
        <v>868</v>
      </c>
      <c r="J31" s="27"/>
      <c r="K31" s="27"/>
    </row>
    <row r="32" spans="2:12" x14ac:dyDescent="0.25">
      <c r="B32" s="17">
        <v>31</v>
      </c>
      <c r="C32" s="17" t="s">
        <v>879</v>
      </c>
      <c r="D32" s="50" t="s">
        <v>865</v>
      </c>
      <c r="E32" s="17">
        <v>3</v>
      </c>
      <c r="F32" s="17" t="s">
        <v>760</v>
      </c>
      <c r="G32" s="44">
        <v>151.19999999999999</v>
      </c>
      <c r="H32" s="44">
        <f t="shared" si="0"/>
        <v>453.59999999999997</v>
      </c>
      <c r="I32" s="17" t="s">
        <v>868</v>
      </c>
      <c r="J32" s="27"/>
      <c r="K32" s="27"/>
    </row>
    <row r="33" spans="2:12" x14ac:dyDescent="0.25">
      <c r="B33" s="17">
        <v>32</v>
      </c>
      <c r="C33" s="17" t="s">
        <v>879</v>
      </c>
      <c r="D33" s="50" t="s">
        <v>866</v>
      </c>
      <c r="E33" s="17">
        <v>2</v>
      </c>
      <c r="F33" s="17" t="s">
        <v>760</v>
      </c>
      <c r="G33" s="44">
        <v>48.38</v>
      </c>
      <c r="H33" s="44">
        <f t="shared" si="0"/>
        <v>96.76</v>
      </c>
      <c r="I33" s="17" t="s">
        <v>868</v>
      </c>
      <c r="J33" s="27"/>
      <c r="K33" s="27"/>
    </row>
    <row r="34" spans="2:12" x14ac:dyDescent="0.25">
      <c r="B34" s="17">
        <v>33</v>
      </c>
      <c r="C34" s="17" t="s">
        <v>878</v>
      </c>
      <c r="D34" s="50" t="s">
        <v>863</v>
      </c>
      <c r="E34" s="17">
        <v>30</v>
      </c>
      <c r="F34" s="17" t="s">
        <v>760</v>
      </c>
      <c r="G34" s="44">
        <v>27.14</v>
      </c>
      <c r="H34" s="44">
        <f t="shared" ref="H34:H65" si="1">G34*E34</f>
        <v>814.2</v>
      </c>
      <c r="I34" s="17" t="s">
        <v>868</v>
      </c>
      <c r="J34" s="27"/>
      <c r="K34" s="27"/>
    </row>
    <row r="35" spans="2:12" x14ac:dyDescent="0.25">
      <c r="B35" s="17">
        <v>34</v>
      </c>
      <c r="C35" s="17" t="s">
        <v>882</v>
      </c>
      <c r="D35" s="50" t="s">
        <v>869</v>
      </c>
      <c r="E35" s="17">
        <v>12</v>
      </c>
      <c r="F35" s="17" t="s">
        <v>881</v>
      </c>
      <c r="G35" s="44">
        <v>703.93</v>
      </c>
      <c r="H35" s="44">
        <f t="shared" si="1"/>
        <v>8447.16</v>
      </c>
      <c r="I35" s="17" t="s">
        <v>868</v>
      </c>
      <c r="J35" s="27"/>
      <c r="K35" s="27"/>
    </row>
    <row r="36" spans="2:12" x14ac:dyDescent="0.25">
      <c r="B36" s="17">
        <v>35</v>
      </c>
      <c r="C36" s="17" t="s">
        <v>882</v>
      </c>
      <c r="D36" s="50" t="s">
        <v>870</v>
      </c>
      <c r="E36" s="17">
        <f>78/6</f>
        <v>13</v>
      </c>
      <c r="F36" s="17" t="s">
        <v>881</v>
      </c>
      <c r="G36" s="44">
        <v>484.24</v>
      </c>
      <c r="H36" s="44">
        <f t="shared" si="1"/>
        <v>6295.12</v>
      </c>
      <c r="I36" s="17" t="s">
        <v>868</v>
      </c>
      <c r="J36" s="27"/>
      <c r="K36" s="27"/>
    </row>
    <row r="37" spans="2:12" x14ac:dyDescent="0.25">
      <c r="B37" s="17">
        <v>36</v>
      </c>
      <c r="C37" s="18"/>
      <c r="D37" s="19" t="s">
        <v>883</v>
      </c>
      <c r="E37" s="18">
        <v>1</v>
      </c>
      <c r="F37" s="18" t="s">
        <v>760</v>
      </c>
      <c r="G37" s="25">
        <v>37375</v>
      </c>
      <c r="H37" s="51">
        <f t="shared" si="1"/>
        <v>37375</v>
      </c>
      <c r="I37" s="18" t="s">
        <v>868</v>
      </c>
      <c r="J37" s="27"/>
      <c r="K37" s="27"/>
    </row>
    <row r="38" spans="2:12" x14ac:dyDescent="0.25">
      <c r="B38" s="17">
        <v>37</v>
      </c>
      <c r="C38" s="17"/>
      <c r="D38" s="50" t="s">
        <v>805</v>
      </c>
      <c r="E38" s="17">
        <f>54*2</f>
        <v>108</v>
      </c>
      <c r="F38" s="17" t="s">
        <v>760</v>
      </c>
      <c r="G38" s="44">
        <v>243.39</v>
      </c>
      <c r="H38" s="44">
        <f t="shared" si="1"/>
        <v>26286.12</v>
      </c>
      <c r="I38" s="17" t="s">
        <v>806</v>
      </c>
      <c r="J38" s="27"/>
      <c r="K38" s="27"/>
      <c r="L38" s="14"/>
    </row>
    <row r="39" spans="2:12" x14ac:dyDescent="0.25">
      <c r="B39" s="17">
        <v>38</v>
      </c>
      <c r="C39" s="17"/>
      <c r="D39" s="50" t="s">
        <v>807</v>
      </c>
      <c r="E39" s="17">
        <v>30</v>
      </c>
      <c r="F39" s="17" t="s">
        <v>760</v>
      </c>
      <c r="G39" s="44">
        <v>119.7</v>
      </c>
      <c r="H39" s="44">
        <f t="shared" si="1"/>
        <v>3591</v>
      </c>
      <c r="I39" s="17" t="s">
        <v>806</v>
      </c>
      <c r="J39" s="27"/>
      <c r="K39" s="27"/>
    </row>
    <row r="40" spans="2:12" x14ac:dyDescent="0.25">
      <c r="B40" s="17">
        <v>39</v>
      </c>
      <c r="C40" s="17"/>
      <c r="D40" s="50" t="s">
        <v>804</v>
      </c>
      <c r="E40" s="18">
        <v>390</v>
      </c>
      <c r="F40" s="17" t="s">
        <v>761</v>
      </c>
      <c r="G40" s="44">
        <v>38.116666600000002</v>
      </c>
      <c r="H40" s="44">
        <f t="shared" si="1"/>
        <v>14865.499974</v>
      </c>
      <c r="I40" s="17" t="s">
        <v>806</v>
      </c>
      <c r="J40" s="27"/>
      <c r="K40" s="27"/>
    </row>
    <row r="41" spans="2:12" x14ac:dyDescent="0.25">
      <c r="B41" s="17">
        <v>40</v>
      </c>
      <c r="C41" s="17"/>
      <c r="D41" s="50" t="s">
        <v>805</v>
      </c>
      <c r="E41" s="53">
        <f>(84*1.02)*2*1.02</f>
        <v>174.78720000000001</v>
      </c>
      <c r="F41" s="17" t="s">
        <v>760</v>
      </c>
      <c r="G41" s="44">
        <v>243.39</v>
      </c>
      <c r="H41" s="44">
        <f t="shared" si="1"/>
        <v>42541.456608</v>
      </c>
      <c r="I41" s="17" t="s">
        <v>774</v>
      </c>
      <c r="J41" s="27"/>
      <c r="K41" s="27"/>
      <c r="L41" s="14"/>
    </row>
    <row r="42" spans="2:12" x14ac:dyDescent="0.25">
      <c r="B42" s="17">
        <v>41</v>
      </c>
      <c r="C42" s="17"/>
      <c r="D42" s="50" t="s">
        <v>804</v>
      </c>
      <c r="E42" s="17">
        <f>84*7</f>
        <v>588</v>
      </c>
      <c r="F42" s="17" t="s">
        <v>761</v>
      </c>
      <c r="G42" s="44">
        <v>38.116666600000002</v>
      </c>
      <c r="H42" s="44">
        <f t="shared" si="1"/>
        <v>22412.599960800002</v>
      </c>
      <c r="I42" s="17" t="s">
        <v>774</v>
      </c>
      <c r="J42" s="27"/>
      <c r="K42" s="27"/>
    </row>
    <row r="43" spans="2:12" x14ac:dyDescent="0.25">
      <c r="B43" s="17">
        <v>42</v>
      </c>
      <c r="C43" s="17"/>
      <c r="D43" s="50" t="s">
        <v>824</v>
      </c>
      <c r="E43" s="17">
        <v>30</v>
      </c>
      <c r="F43" s="17" t="s">
        <v>818</v>
      </c>
      <c r="G43" s="44">
        <v>24</v>
      </c>
      <c r="H43" s="44">
        <f t="shared" si="1"/>
        <v>720</v>
      </c>
      <c r="I43" s="17" t="s">
        <v>774</v>
      </c>
      <c r="J43" s="27"/>
      <c r="K43" s="27"/>
    </row>
    <row r="44" spans="2:12" x14ac:dyDescent="0.25">
      <c r="B44" s="17">
        <v>43</v>
      </c>
      <c r="C44" s="17"/>
      <c r="D44" s="50" t="s">
        <v>825</v>
      </c>
      <c r="E44" s="17">
        <v>1</v>
      </c>
      <c r="F44" s="17" t="s">
        <v>760</v>
      </c>
      <c r="G44" s="44">
        <v>860</v>
      </c>
      <c r="H44" s="44">
        <f t="shared" si="1"/>
        <v>860</v>
      </c>
      <c r="I44" s="17" t="s">
        <v>774</v>
      </c>
      <c r="J44" s="27"/>
      <c r="K44" s="27"/>
    </row>
    <row r="45" spans="2:12" x14ac:dyDescent="0.25">
      <c r="B45" s="17">
        <v>44</v>
      </c>
      <c r="C45" s="17"/>
      <c r="D45" s="19" t="s">
        <v>873</v>
      </c>
      <c r="E45" s="18">
        <v>140</v>
      </c>
      <c r="F45" s="18" t="s">
        <v>761</v>
      </c>
      <c r="G45" s="25">
        <v>23.90625</v>
      </c>
      <c r="H45" s="25">
        <f t="shared" si="1"/>
        <v>3346.875</v>
      </c>
      <c r="I45" s="18" t="s">
        <v>774</v>
      </c>
      <c r="J45" s="27"/>
      <c r="K45" s="27"/>
    </row>
    <row r="46" spans="2:12" x14ac:dyDescent="0.25">
      <c r="B46" s="17">
        <v>45</v>
      </c>
      <c r="C46" s="17"/>
      <c r="D46" s="19" t="s">
        <v>778</v>
      </c>
      <c r="E46" s="18">
        <v>66</v>
      </c>
      <c r="F46" s="18" t="s">
        <v>761</v>
      </c>
      <c r="G46" s="25">
        <v>26</v>
      </c>
      <c r="H46" s="25">
        <f t="shared" si="1"/>
        <v>1716</v>
      </c>
      <c r="I46" s="18" t="s">
        <v>774</v>
      </c>
      <c r="J46" s="27"/>
      <c r="K46" s="27"/>
    </row>
    <row r="47" spans="2:12" x14ac:dyDescent="0.25">
      <c r="B47" s="17">
        <v>46</v>
      </c>
      <c r="C47" s="17"/>
      <c r="D47" s="19" t="s">
        <v>800</v>
      </c>
      <c r="E47" s="18">
        <v>1</v>
      </c>
      <c r="F47" s="18" t="s">
        <v>760</v>
      </c>
      <c r="G47" s="25">
        <f>7500+7000+6500+10000</f>
        <v>31000</v>
      </c>
      <c r="H47" s="25">
        <f t="shared" si="1"/>
        <v>31000</v>
      </c>
      <c r="I47" s="18" t="s">
        <v>774</v>
      </c>
      <c r="J47" s="27"/>
      <c r="K47" s="27"/>
    </row>
    <row r="48" spans="2:12" x14ac:dyDescent="0.25">
      <c r="B48" s="17">
        <v>47</v>
      </c>
      <c r="C48" s="17"/>
      <c r="D48" s="50" t="s">
        <v>788</v>
      </c>
      <c r="E48" s="17">
        <v>1</v>
      </c>
      <c r="F48" s="17" t="s">
        <v>760</v>
      </c>
      <c r="G48" s="54">
        <v>6000</v>
      </c>
      <c r="H48" s="54">
        <f t="shared" si="1"/>
        <v>6000</v>
      </c>
      <c r="I48" s="17" t="s">
        <v>771</v>
      </c>
      <c r="J48" s="27"/>
      <c r="K48" s="27"/>
    </row>
    <row r="49" spans="2:12" x14ac:dyDescent="0.25">
      <c r="B49" s="17">
        <v>48</v>
      </c>
      <c r="C49" s="17"/>
      <c r="D49" s="50" t="s">
        <v>769</v>
      </c>
      <c r="E49" s="17">
        <v>4100</v>
      </c>
      <c r="F49" s="17" t="s">
        <v>811</v>
      </c>
      <c r="G49" s="54">
        <v>9.65</v>
      </c>
      <c r="H49" s="54">
        <f t="shared" si="1"/>
        <v>39565</v>
      </c>
      <c r="I49" s="17" t="s">
        <v>771</v>
      </c>
      <c r="J49" s="27"/>
      <c r="K49" s="27"/>
    </row>
    <row r="50" spans="2:12" x14ac:dyDescent="0.25">
      <c r="B50" s="17">
        <v>49</v>
      </c>
      <c r="C50" s="17"/>
      <c r="D50" s="50" t="s">
        <v>770</v>
      </c>
      <c r="E50" s="17">
        <v>4000</v>
      </c>
      <c r="F50" s="17" t="s">
        <v>811</v>
      </c>
      <c r="G50" s="54">
        <v>9.65</v>
      </c>
      <c r="H50" s="54">
        <f t="shared" si="1"/>
        <v>38600</v>
      </c>
      <c r="I50" s="17" t="s">
        <v>771</v>
      </c>
      <c r="J50" s="27"/>
      <c r="K50" s="27"/>
      <c r="L50" s="14" t="s">
        <v>812</v>
      </c>
    </row>
    <row r="51" spans="2:12" x14ac:dyDescent="0.25">
      <c r="B51" s="17">
        <v>50</v>
      </c>
      <c r="C51" s="17"/>
      <c r="D51" s="50" t="s">
        <v>803</v>
      </c>
      <c r="E51" s="17">
        <v>1</v>
      </c>
      <c r="F51" s="17" t="s">
        <v>760</v>
      </c>
      <c r="G51" s="54">
        <v>164000</v>
      </c>
      <c r="H51" s="54">
        <f t="shared" si="1"/>
        <v>164000</v>
      </c>
      <c r="I51" s="17" t="s">
        <v>771</v>
      </c>
      <c r="J51" s="27"/>
      <c r="K51" s="27"/>
      <c r="L51" s="14" t="s">
        <v>812</v>
      </c>
    </row>
    <row r="52" spans="2:12" x14ac:dyDescent="0.25">
      <c r="B52" s="17">
        <v>51</v>
      </c>
      <c r="C52" s="17"/>
      <c r="D52" s="50" t="s">
        <v>830</v>
      </c>
      <c r="E52" s="53">
        <v>99.22</v>
      </c>
      <c r="F52" s="17" t="s">
        <v>759</v>
      </c>
      <c r="G52" s="54">
        <v>670</v>
      </c>
      <c r="H52" s="54">
        <f t="shared" si="1"/>
        <v>66477.399999999994</v>
      </c>
      <c r="I52" s="17" t="s">
        <v>771</v>
      </c>
      <c r="J52" s="27"/>
      <c r="K52" s="27"/>
    </row>
    <row r="53" spans="2:12" x14ac:dyDescent="0.25">
      <c r="B53" s="17">
        <v>52</v>
      </c>
      <c r="C53" s="17"/>
      <c r="D53" s="50" t="s">
        <v>829</v>
      </c>
      <c r="E53" s="17">
        <v>68</v>
      </c>
      <c r="F53" s="17" t="s">
        <v>759</v>
      </c>
      <c r="G53" s="54">
        <v>670</v>
      </c>
      <c r="H53" s="54">
        <f t="shared" si="1"/>
        <v>45560</v>
      </c>
      <c r="I53" s="17" t="s">
        <v>771</v>
      </c>
      <c r="J53" s="27"/>
      <c r="K53" s="27"/>
    </row>
    <row r="54" spans="2:12" x14ac:dyDescent="0.25">
      <c r="B54" s="17">
        <v>53</v>
      </c>
      <c r="C54" s="17"/>
      <c r="D54" s="50" t="s">
        <v>808</v>
      </c>
      <c r="E54" s="17">
        <v>1</v>
      </c>
      <c r="F54" s="17" t="s">
        <v>760</v>
      </c>
      <c r="G54" s="54">
        <v>56500</v>
      </c>
      <c r="H54" s="54">
        <f t="shared" si="1"/>
        <v>56500</v>
      </c>
      <c r="I54" s="17" t="s">
        <v>771</v>
      </c>
      <c r="J54" s="27"/>
      <c r="K54" s="27"/>
    </row>
    <row r="55" spans="2:12" x14ac:dyDescent="0.25">
      <c r="B55" s="17">
        <v>54</v>
      </c>
      <c r="C55" s="17"/>
      <c r="D55" s="50" t="s">
        <v>777</v>
      </c>
      <c r="E55" s="17">
        <v>50</v>
      </c>
      <c r="F55" s="17" t="s">
        <v>760</v>
      </c>
      <c r="G55" s="44">
        <v>125</v>
      </c>
      <c r="H55" s="44">
        <f t="shared" si="1"/>
        <v>6250</v>
      </c>
      <c r="I55" s="17" t="s">
        <v>771</v>
      </c>
      <c r="J55" s="27"/>
      <c r="K55" s="27"/>
    </row>
    <row r="56" spans="2:12" x14ac:dyDescent="0.25">
      <c r="B56" s="17">
        <v>55</v>
      </c>
      <c r="C56" s="17"/>
      <c r="D56" s="50" t="s">
        <v>842</v>
      </c>
      <c r="E56" s="17">
        <v>4</v>
      </c>
      <c r="F56" s="17" t="s">
        <v>760</v>
      </c>
      <c r="G56" s="44">
        <v>1500</v>
      </c>
      <c r="H56" s="44">
        <f t="shared" si="1"/>
        <v>6000</v>
      </c>
      <c r="I56" s="17" t="s">
        <v>771</v>
      </c>
      <c r="J56" s="27"/>
      <c r="K56" s="27"/>
    </row>
    <row r="57" spans="2:12" x14ac:dyDescent="0.25">
      <c r="B57" s="17">
        <v>56</v>
      </c>
      <c r="C57" s="17"/>
      <c r="D57" s="19" t="s">
        <v>850</v>
      </c>
      <c r="E57" s="18">
        <v>26</v>
      </c>
      <c r="F57" s="18" t="s">
        <v>760</v>
      </c>
      <c r="G57" s="25">
        <v>420</v>
      </c>
      <c r="H57" s="25">
        <f t="shared" si="1"/>
        <v>10920</v>
      </c>
      <c r="I57" s="17" t="s">
        <v>901</v>
      </c>
      <c r="J57" s="27"/>
      <c r="K57" s="27"/>
      <c r="L57" s="24" t="s">
        <v>843</v>
      </c>
    </row>
    <row r="58" spans="2:12" x14ac:dyDescent="0.25">
      <c r="B58" s="17">
        <v>57</v>
      </c>
      <c r="C58" s="17"/>
      <c r="D58" s="50" t="s">
        <v>898</v>
      </c>
      <c r="E58" s="18">
        <v>400</v>
      </c>
      <c r="F58" s="18" t="s">
        <v>761</v>
      </c>
      <c r="G58" s="25">
        <v>15</v>
      </c>
      <c r="H58" s="25">
        <f t="shared" si="1"/>
        <v>6000</v>
      </c>
      <c r="I58" s="17" t="s">
        <v>901</v>
      </c>
      <c r="J58" s="27"/>
      <c r="K58" s="27"/>
    </row>
    <row r="59" spans="2:12" x14ac:dyDescent="0.25">
      <c r="B59" s="17">
        <v>58</v>
      </c>
      <c r="C59" s="17"/>
      <c r="D59" s="19" t="s">
        <v>851</v>
      </c>
      <c r="E59" s="18">
        <v>1</v>
      </c>
      <c r="F59" s="18" t="s">
        <v>760</v>
      </c>
      <c r="G59" s="25">
        <f>119439/2</f>
        <v>59719.5</v>
      </c>
      <c r="H59" s="25">
        <f t="shared" si="1"/>
        <v>59719.5</v>
      </c>
      <c r="I59" s="17" t="s">
        <v>901</v>
      </c>
      <c r="J59" s="27"/>
      <c r="K59" s="27"/>
    </row>
    <row r="60" spans="2:12" x14ac:dyDescent="0.25">
      <c r="B60" s="17">
        <v>59</v>
      </c>
      <c r="C60" s="17"/>
      <c r="D60" s="19" t="s">
        <v>783</v>
      </c>
      <c r="E60" s="18">
        <v>8</v>
      </c>
      <c r="F60" s="18" t="s">
        <v>760</v>
      </c>
      <c r="G60" s="25">
        <v>380</v>
      </c>
      <c r="H60" s="25">
        <f t="shared" si="1"/>
        <v>3040</v>
      </c>
      <c r="I60" s="18" t="s">
        <v>576</v>
      </c>
      <c r="J60" s="27"/>
      <c r="K60" s="27"/>
    </row>
    <row r="61" spans="2:12" x14ac:dyDescent="0.25">
      <c r="B61" s="17">
        <v>60</v>
      </c>
      <c r="C61" s="17"/>
      <c r="D61" s="19" t="s">
        <v>784</v>
      </c>
      <c r="E61" s="18">
        <v>4</v>
      </c>
      <c r="F61" s="18" t="s">
        <v>760</v>
      </c>
      <c r="G61" s="25">
        <v>290</v>
      </c>
      <c r="H61" s="25">
        <f t="shared" si="1"/>
        <v>1160</v>
      </c>
      <c r="I61" s="18" t="s">
        <v>576</v>
      </c>
      <c r="J61" s="27"/>
      <c r="K61" s="27"/>
    </row>
    <row r="62" spans="2:12" x14ac:dyDescent="0.25">
      <c r="B62" s="17">
        <v>61</v>
      </c>
      <c r="C62" s="17"/>
      <c r="D62" s="19" t="s">
        <v>785</v>
      </c>
      <c r="E62" s="18">
        <v>4</v>
      </c>
      <c r="F62" s="18" t="s">
        <v>760</v>
      </c>
      <c r="G62" s="25">
        <v>290</v>
      </c>
      <c r="H62" s="25">
        <f t="shared" si="1"/>
        <v>1160</v>
      </c>
      <c r="I62" s="18" t="s">
        <v>576</v>
      </c>
      <c r="J62" s="27"/>
      <c r="K62" s="27"/>
    </row>
    <row r="63" spans="2:12" x14ac:dyDescent="0.25">
      <c r="B63" s="17">
        <v>62</v>
      </c>
      <c r="C63" s="17"/>
      <c r="D63" s="50" t="s">
        <v>757</v>
      </c>
      <c r="E63" s="53">
        <f>(2150*1.05)*0.15</f>
        <v>338.625</v>
      </c>
      <c r="F63" s="17" t="s">
        <v>759</v>
      </c>
      <c r="G63" s="54">
        <v>670</v>
      </c>
      <c r="H63" s="54">
        <f t="shared" si="1"/>
        <v>226878.75</v>
      </c>
      <c r="I63" s="17" t="s">
        <v>833</v>
      </c>
      <c r="J63" s="27"/>
      <c r="K63" s="27"/>
    </row>
    <row r="64" spans="2:12" x14ac:dyDescent="0.25">
      <c r="B64" s="17">
        <v>63</v>
      </c>
      <c r="C64" s="17"/>
      <c r="D64" s="50" t="s">
        <v>775</v>
      </c>
      <c r="E64" s="53">
        <f>(2150/13)*2</f>
        <v>330.76923076923077</v>
      </c>
      <c r="F64" s="17" t="s">
        <v>760</v>
      </c>
      <c r="G64" s="54">
        <v>220.5</v>
      </c>
      <c r="H64" s="54">
        <f t="shared" si="1"/>
        <v>72934.61538461539</v>
      </c>
      <c r="I64" s="17" t="s">
        <v>833</v>
      </c>
      <c r="J64" s="27"/>
      <c r="K64" s="27"/>
    </row>
    <row r="65" spans="2:11" x14ac:dyDescent="0.25">
      <c r="B65" s="17">
        <v>64</v>
      </c>
      <c r="C65" s="17"/>
      <c r="D65" s="50" t="s">
        <v>758</v>
      </c>
      <c r="E65" s="17">
        <f>2100/12</f>
        <v>175</v>
      </c>
      <c r="F65" s="17" t="s">
        <v>760</v>
      </c>
      <c r="G65" s="54">
        <v>56.2</v>
      </c>
      <c r="H65" s="54">
        <f t="shared" si="1"/>
        <v>9835</v>
      </c>
      <c r="I65" s="17" t="s">
        <v>833</v>
      </c>
      <c r="J65" s="27"/>
      <c r="K65" s="27"/>
    </row>
    <row r="66" spans="2:11" x14ac:dyDescent="0.25">
      <c r="B66" s="17">
        <v>65</v>
      </c>
      <c r="C66" s="17"/>
      <c r="D66" s="50" t="s">
        <v>762</v>
      </c>
      <c r="E66" s="17">
        <v>1000</v>
      </c>
      <c r="F66" s="17" t="s">
        <v>763</v>
      </c>
      <c r="G66" s="54">
        <v>7.3</v>
      </c>
      <c r="H66" s="54">
        <f t="shared" ref="H66:H97" si="2">G66*E66</f>
        <v>7300</v>
      </c>
      <c r="I66" s="17" t="s">
        <v>833</v>
      </c>
      <c r="J66" s="27"/>
      <c r="K66" s="27"/>
    </row>
    <row r="67" spans="2:11" x14ac:dyDescent="0.25">
      <c r="B67" s="17">
        <v>66</v>
      </c>
      <c r="C67" s="17"/>
      <c r="D67" s="50" t="s">
        <v>792</v>
      </c>
      <c r="E67" s="53">
        <f>E63</f>
        <v>338.625</v>
      </c>
      <c r="F67" s="17" t="s">
        <v>766</v>
      </c>
      <c r="G67" s="54">
        <v>50</v>
      </c>
      <c r="H67" s="54">
        <f t="shared" si="2"/>
        <v>16931.25</v>
      </c>
      <c r="I67" s="17" t="s">
        <v>833</v>
      </c>
      <c r="J67" s="27"/>
      <c r="K67" s="27"/>
    </row>
    <row r="68" spans="2:11" x14ac:dyDescent="0.25">
      <c r="B68" s="17">
        <v>67</v>
      </c>
      <c r="C68" s="17"/>
      <c r="D68" s="50" t="s">
        <v>826</v>
      </c>
      <c r="E68" s="17">
        <v>1</v>
      </c>
      <c r="F68" s="17" t="s">
        <v>760</v>
      </c>
      <c r="G68" s="54">
        <v>53550</v>
      </c>
      <c r="H68" s="54">
        <f t="shared" si="2"/>
        <v>53550</v>
      </c>
      <c r="I68" s="17" t="s">
        <v>833</v>
      </c>
      <c r="J68" s="27"/>
      <c r="K68" s="27"/>
    </row>
    <row r="69" spans="2:11" x14ac:dyDescent="0.25">
      <c r="B69" s="17">
        <v>68</v>
      </c>
      <c r="C69" s="18"/>
      <c r="D69" s="19" t="s">
        <v>799</v>
      </c>
      <c r="E69" s="18">
        <v>110</v>
      </c>
      <c r="F69" s="18" t="s">
        <v>760</v>
      </c>
      <c r="G69" s="25">
        <v>42.29</v>
      </c>
      <c r="H69" s="25">
        <f t="shared" si="2"/>
        <v>4651.8999999999996</v>
      </c>
      <c r="I69" s="18" t="s">
        <v>831</v>
      </c>
      <c r="J69" s="27"/>
      <c r="K69" s="27"/>
    </row>
    <row r="70" spans="2:11" x14ac:dyDescent="0.25">
      <c r="B70" s="17">
        <v>69</v>
      </c>
      <c r="C70" s="18"/>
      <c r="D70" s="19" t="s">
        <v>832</v>
      </c>
      <c r="E70" s="18">
        <v>1</v>
      </c>
      <c r="F70" s="18" t="s">
        <v>760</v>
      </c>
      <c r="G70" s="25">
        <v>1400</v>
      </c>
      <c r="H70" s="25">
        <f t="shared" si="2"/>
        <v>1400</v>
      </c>
      <c r="I70" s="18" t="s">
        <v>831</v>
      </c>
      <c r="J70" s="27"/>
      <c r="K70" s="27"/>
    </row>
    <row r="71" spans="2:11" x14ac:dyDescent="0.25">
      <c r="B71" s="17">
        <v>70</v>
      </c>
      <c r="C71" s="18"/>
      <c r="D71" s="19" t="s">
        <v>757</v>
      </c>
      <c r="E71" s="52">
        <f>((1260+960)*0.15)*1.1</f>
        <v>366.3</v>
      </c>
      <c r="F71" s="18" t="s">
        <v>759</v>
      </c>
      <c r="G71" s="25">
        <v>670</v>
      </c>
      <c r="H71" s="25">
        <f t="shared" si="2"/>
        <v>245421</v>
      </c>
      <c r="I71" s="18" t="s">
        <v>831</v>
      </c>
      <c r="J71" s="27"/>
      <c r="K71" s="27"/>
    </row>
    <row r="72" spans="2:11" x14ac:dyDescent="0.25">
      <c r="B72" s="17">
        <v>71</v>
      </c>
      <c r="C72" s="18"/>
      <c r="D72" s="50" t="s">
        <v>775</v>
      </c>
      <c r="E72" s="52">
        <f>(1260+960)/13*1.05</f>
        <v>179.30769230769232</v>
      </c>
      <c r="F72" s="18" t="s">
        <v>760</v>
      </c>
      <c r="G72" s="25">
        <v>220.5</v>
      </c>
      <c r="H72" s="25">
        <f t="shared" si="2"/>
        <v>39537.346153846156</v>
      </c>
      <c r="I72" s="18" t="s">
        <v>831</v>
      </c>
      <c r="J72" s="27"/>
      <c r="K72" s="27"/>
    </row>
    <row r="73" spans="2:11" x14ac:dyDescent="0.25">
      <c r="B73" s="17">
        <v>72</v>
      </c>
      <c r="C73" s="18"/>
      <c r="D73" s="19" t="s">
        <v>834</v>
      </c>
      <c r="E73" s="18">
        <v>1</v>
      </c>
      <c r="F73" s="18" t="s">
        <v>760</v>
      </c>
      <c r="G73" s="25">
        <v>62525</v>
      </c>
      <c r="H73" s="25">
        <f t="shared" si="2"/>
        <v>62525</v>
      </c>
      <c r="I73" s="18" t="s">
        <v>831</v>
      </c>
      <c r="J73" s="27"/>
      <c r="K73" s="27"/>
    </row>
    <row r="74" spans="2:11" x14ac:dyDescent="0.25">
      <c r="B74" s="17">
        <v>73</v>
      </c>
      <c r="C74" s="17"/>
      <c r="D74" s="50" t="s">
        <v>823</v>
      </c>
      <c r="E74" s="17">
        <v>1</v>
      </c>
      <c r="F74" s="17" t="s">
        <v>760</v>
      </c>
      <c r="G74" s="44">
        <v>24500</v>
      </c>
      <c r="H74" s="44">
        <f t="shared" si="2"/>
        <v>24500</v>
      </c>
      <c r="I74" s="17" t="s">
        <v>772</v>
      </c>
      <c r="J74" s="27"/>
      <c r="K74" s="27"/>
    </row>
    <row r="75" spans="2:11" x14ac:dyDescent="0.25">
      <c r="B75" s="17">
        <v>74</v>
      </c>
      <c r="C75" s="17"/>
      <c r="D75" s="50" t="s">
        <v>773</v>
      </c>
      <c r="E75" s="17">
        <v>1</v>
      </c>
      <c r="F75" s="17" t="s">
        <v>760</v>
      </c>
      <c r="G75" s="54">
        <v>968004</v>
      </c>
      <c r="H75" s="54">
        <f t="shared" si="2"/>
        <v>968004</v>
      </c>
      <c r="I75" s="17" t="s">
        <v>772</v>
      </c>
      <c r="J75" s="27"/>
      <c r="K75" s="27"/>
    </row>
    <row r="76" spans="2:11" x14ac:dyDescent="0.25">
      <c r="B76" s="17">
        <v>75</v>
      </c>
      <c r="C76" s="18"/>
      <c r="D76" s="19" t="s">
        <v>904</v>
      </c>
      <c r="E76" s="18">
        <v>1</v>
      </c>
      <c r="F76" s="18" t="s">
        <v>760</v>
      </c>
      <c r="G76" s="25">
        <v>32000</v>
      </c>
      <c r="H76" s="51">
        <f t="shared" si="2"/>
        <v>32000</v>
      </c>
      <c r="I76" s="18" t="s">
        <v>859</v>
      </c>
      <c r="J76" s="27"/>
      <c r="K76" s="27"/>
    </row>
    <row r="77" spans="2:11" x14ac:dyDescent="0.25">
      <c r="B77" s="17">
        <v>76</v>
      </c>
      <c r="C77" s="18"/>
      <c r="D77" s="19" t="s">
        <v>903</v>
      </c>
      <c r="E77" s="18">
        <v>1</v>
      </c>
      <c r="F77" s="18" t="s">
        <v>760</v>
      </c>
      <c r="G77" s="25">
        <v>10000</v>
      </c>
      <c r="H77" s="51">
        <f t="shared" si="2"/>
        <v>10000</v>
      </c>
      <c r="I77" s="18" t="s">
        <v>859</v>
      </c>
      <c r="J77" s="27"/>
      <c r="K77" s="27"/>
    </row>
    <row r="78" spans="2:11" x14ac:dyDescent="0.25">
      <c r="B78" s="17">
        <v>77</v>
      </c>
      <c r="C78" s="17"/>
      <c r="D78" s="19" t="s">
        <v>793</v>
      </c>
      <c r="E78" s="18">
        <v>1</v>
      </c>
      <c r="F78" s="18" t="s">
        <v>760</v>
      </c>
      <c r="G78" s="25">
        <v>46600</v>
      </c>
      <c r="H78" s="25">
        <f t="shared" si="2"/>
        <v>46600</v>
      </c>
      <c r="I78" s="18" t="s">
        <v>837</v>
      </c>
      <c r="J78" s="42" t="s">
        <v>922</v>
      </c>
      <c r="K78" s="27"/>
    </row>
    <row r="79" spans="2:11" x14ac:dyDescent="0.25">
      <c r="B79" s="17">
        <v>78</v>
      </c>
      <c r="C79" s="17"/>
      <c r="D79" s="19" t="s">
        <v>794</v>
      </c>
      <c r="E79" s="18">
        <v>1</v>
      </c>
      <c r="F79" s="18" t="s">
        <v>760</v>
      </c>
      <c r="G79" s="25">
        <v>8100</v>
      </c>
      <c r="H79" s="25">
        <f t="shared" si="2"/>
        <v>8100</v>
      </c>
      <c r="I79" s="18" t="s">
        <v>837</v>
      </c>
      <c r="J79" s="42" t="s">
        <v>922</v>
      </c>
      <c r="K79" s="27"/>
    </row>
    <row r="80" spans="2:11" x14ac:dyDescent="0.25">
      <c r="B80" s="17">
        <v>79</v>
      </c>
      <c r="C80" s="17"/>
      <c r="D80" s="19" t="s">
        <v>801</v>
      </c>
      <c r="E80" s="18">
        <v>1</v>
      </c>
      <c r="F80" s="18" t="s">
        <v>760</v>
      </c>
      <c r="G80" s="25">
        <v>5000</v>
      </c>
      <c r="H80" s="25">
        <f t="shared" si="2"/>
        <v>5000</v>
      </c>
      <c r="I80" s="18" t="s">
        <v>837</v>
      </c>
      <c r="J80" s="42" t="s">
        <v>922</v>
      </c>
      <c r="K80" s="27"/>
    </row>
    <row r="81" spans="2:12" x14ac:dyDescent="0.25">
      <c r="B81" s="17">
        <v>80</v>
      </c>
      <c r="C81" s="17"/>
      <c r="D81" s="19" t="s">
        <v>872</v>
      </c>
      <c r="E81" s="18">
        <v>1</v>
      </c>
      <c r="F81" s="18" t="s">
        <v>760</v>
      </c>
      <c r="G81" s="25">
        <v>27000</v>
      </c>
      <c r="H81" s="25">
        <f t="shared" si="2"/>
        <v>27000</v>
      </c>
      <c r="I81" s="18" t="s">
        <v>837</v>
      </c>
      <c r="J81" s="42" t="s">
        <v>923</v>
      </c>
      <c r="K81" s="27"/>
    </row>
    <row r="82" spans="2:12" x14ac:dyDescent="0.25">
      <c r="B82" s="17">
        <v>81</v>
      </c>
      <c r="C82" s="17"/>
      <c r="D82" s="19" t="s">
        <v>893</v>
      </c>
      <c r="E82" s="18">
        <v>320</v>
      </c>
      <c r="F82" s="18" t="s">
        <v>761</v>
      </c>
      <c r="G82" s="25">
        <v>16</v>
      </c>
      <c r="H82" s="25">
        <f t="shared" si="2"/>
        <v>5120</v>
      </c>
      <c r="I82" s="18" t="s">
        <v>837</v>
      </c>
      <c r="J82" s="42" t="s">
        <v>922</v>
      </c>
      <c r="K82" s="27"/>
    </row>
    <row r="83" spans="2:12" x14ac:dyDescent="0.25">
      <c r="B83" s="17">
        <v>82</v>
      </c>
      <c r="C83" s="17"/>
      <c r="D83" s="19" t="s">
        <v>911</v>
      </c>
      <c r="E83" s="18">
        <v>1</v>
      </c>
      <c r="F83" s="18" t="s">
        <v>760</v>
      </c>
      <c r="G83" s="25">
        <v>3400</v>
      </c>
      <c r="H83" s="25">
        <f t="shared" si="2"/>
        <v>3400</v>
      </c>
      <c r="I83" s="18" t="s">
        <v>837</v>
      </c>
      <c r="J83" s="42" t="s">
        <v>922</v>
      </c>
      <c r="K83" s="27"/>
    </row>
    <row r="84" spans="2:12" x14ac:dyDescent="0.25">
      <c r="B84" s="17">
        <v>83</v>
      </c>
      <c r="C84" s="17"/>
      <c r="D84" s="19" t="s">
        <v>912</v>
      </c>
      <c r="E84" s="18">
        <v>1</v>
      </c>
      <c r="F84" s="18" t="s">
        <v>760</v>
      </c>
      <c r="G84" s="25">
        <v>8000</v>
      </c>
      <c r="H84" s="25">
        <f t="shared" si="2"/>
        <v>8000</v>
      </c>
      <c r="I84" s="18" t="s">
        <v>837</v>
      </c>
      <c r="J84" s="42" t="s">
        <v>922</v>
      </c>
      <c r="K84" s="27"/>
    </row>
    <row r="85" spans="2:12" x14ac:dyDescent="0.25">
      <c r="B85" s="17">
        <v>84</v>
      </c>
      <c r="C85" s="17"/>
      <c r="D85" s="19" t="s">
        <v>916</v>
      </c>
      <c r="E85" s="18">
        <v>1</v>
      </c>
      <c r="F85" s="18" t="s">
        <v>760</v>
      </c>
      <c r="G85" s="25">
        <v>2500</v>
      </c>
      <c r="H85" s="25">
        <f t="shared" si="2"/>
        <v>2500</v>
      </c>
      <c r="I85" s="18" t="s">
        <v>837</v>
      </c>
      <c r="J85" s="42" t="s">
        <v>923</v>
      </c>
      <c r="K85" s="27"/>
    </row>
    <row r="86" spans="2:12" x14ac:dyDescent="0.25">
      <c r="B86" s="17">
        <v>85</v>
      </c>
      <c r="C86" s="17" t="s">
        <v>900</v>
      </c>
      <c r="D86" s="50" t="s">
        <v>896</v>
      </c>
      <c r="E86" s="52">
        <v>115</v>
      </c>
      <c r="F86" s="18" t="s">
        <v>760</v>
      </c>
      <c r="G86" s="25">
        <v>102</v>
      </c>
      <c r="H86" s="25">
        <f t="shared" si="2"/>
        <v>11730</v>
      </c>
      <c r="I86" s="17" t="s">
        <v>837</v>
      </c>
      <c r="J86" s="42" t="s">
        <v>922</v>
      </c>
      <c r="K86" s="27"/>
    </row>
    <row r="87" spans="2:12" x14ac:dyDescent="0.25">
      <c r="B87" s="17">
        <v>87</v>
      </c>
      <c r="C87" s="17"/>
      <c r="D87" s="50" t="s">
        <v>853</v>
      </c>
      <c r="E87" s="17">
        <v>87</v>
      </c>
      <c r="F87" s="17" t="s">
        <v>760</v>
      </c>
      <c r="G87" s="44">
        <v>34.99</v>
      </c>
      <c r="H87" s="44">
        <f t="shared" si="2"/>
        <v>3044.13</v>
      </c>
      <c r="I87" s="17" t="s">
        <v>791</v>
      </c>
      <c r="J87" s="27"/>
      <c r="K87" s="27"/>
    </row>
    <row r="88" spans="2:12" x14ac:dyDescent="0.25">
      <c r="B88" s="17">
        <v>88</v>
      </c>
      <c r="C88" s="17"/>
      <c r="D88" s="55" t="s">
        <v>854</v>
      </c>
      <c r="E88" s="17">
        <v>174</v>
      </c>
      <c r="F88" s="17" t="s">
        <v>760</v>
      </c>
      <c r="G88" s="44">
        <v>255.5</v>
      </c>
      <c r="H88" s="44">
        <f t="shared" si="2"/>
        <v>44457</v>
      </c>
      <c r="I88" s="17" t="s">
        <v>791</v>
      </c>
      <c r="J88" s="27"/>
      <c r="K88" s="27"/>
    </row>
    <row r="89" spans="2:12" x14ac:dyDescent="0.25">
      <c r="B89" s="17">
        <v>89</v>
      </c>
      <c r="C89" s="17"/>
      <c r="D89" s="50" t="s">
        <v>855</v>
      </c>
      <c r="E89" s="17">
        <v>174</v>
      </c>
      <c r="F89" s="17" t="s">
        <v>760</v>
      </c>
      <c r="G89" s="44">
        <v>196</v>
      </c>
      <c r="H89" s="44">
        <f t="shared" si="2"/>
        <v>34104</v>
      </c>
      <c r="I89" s="17" t="s">
        <v>791</v>
      </c>
      <c r="J89" s="27"/>
      <c r="K89" s="27"/>
    </row>
    <row r="90" spans="2:12" x14ac:dyDescent="0.25">
      <c r="B90" s="17">
        <v>90</v>
      </c>
      <c r="C90" s="17"/>
      <c r="D90" s="55" t="s">
        <v>840</v>
      </c>
      <c r="E90" s="17">
        <v>4700</v>
      </c>
      <c r="F90" s="17" t="s">
        <v>760</v>
      </c>
      <c r="G90" s="44">
        <v>0.5</v>
      </c>
      <c r="H90" s="44">
        <f t="shared" si="2"/>
        <v>2350</v>
      </c>
      <c r="I90" s="17" t="s">
        <v>791</v>
      </c>
      <c r="J90" s="27"/>
      <c r="K90" s="27"/>
    </row>
    <row r="91" spans="2:12" x14ac:dyDescent="0.25">
      <c r="B91" s="17">
        <v>91</v>
      </c>
      <c r="C91" s="17"/>
      <c r="D91" s="50" t="s">
        <v>841</v>
      </c>
      <c r="E91" s="17">
        <v>3200</v>
      </c>
      <c r="F91" s="17" t="s">
        <v>760</v>
      </c>
      <c r="G91" s="44">
        <v>0.5</v>
      </c>
      <c r="H91" s="44">
        <f t="shared" si="2"/>
        <v>1600</v>
      </c>
      <c r="I91" s="17" t="s">
        <v>791</v>
      </c>
      <c r="J91" s="27"/>
      <c r="K91" s="27"/>
    </row>
    <row r="92" spans="2:12" x14ac:dyDescent="0.25">
      <c r="B92" s="17">
        <v>92</v>
      </c>
      <c r="C92" s="17"/>
      <c r="D92" s="50" t="s">
        <v>781</v>
      </c>
      <c r="E92" s="17">
        <v>1</v>
      </c>
      <c r="F92" s="17" t="s">
        <v>760</v>
      </c>
      <c r="G92" s="44">
        <v>908615.35</v>
      </c>
      <c r="H92" s="44">
        <f t="shared" si="2"/>
        <v>908615.35</v>
      </c>
      <c r="I92" s="17" t="s">
        <v>780</v>
      </c>
      <c r="J92" s="27"/>
      <c r="K92" s="27"/>
    </row>
    <row r="93" spans="2:12" x14ac:dyDescent="0.25">
      <c r="B93" s="17">
        <v>93</v>
      </c>
      <c r="C93" s="17" t="s">
        <v>900</v>
      </c>
      <c r="D93" s="19" t="s">
        <v>894</v>
      </c>
      <c r="E93" s="18">
        <v>750</v>
      </c>
      <c r="F93" s="18" t="s">
        <v>761</v>
      </c>
      <c r="G93" s="25">
        <v>124.25</v>
      </c>
      <c r="H93" s="25">
        <f t="shared" si="2"/>
        <v>93187.5</v>
      </c>
      <c r="I93" s="18" t="s">
        <v>836</v>
      </c>
      <c r="J93" s="27"/>
      <c r="K93" s="27"/>
    </row>
    <row r="94" spans="2:12" x14ac:dyDescent="0.25">
      <c r="B94" s="17">
        <v>94</v>
      </c>
      <c r="C94" s="17" t="s">
        <v>900</v>
      </c>
      <c r="D94" s="19" t="s">
        <v>895</v>
      </c>
      <c r="E94" s="18">
        <v>250</v>
      </c>
      <c r="F94" s="18" t="s">
        <v>761</v>
      </c>
      <c r="G94" s="25">
        <v>55.57</v>
      </c>
      <c r="H94" s="25">
        <f t="shared" si="2"/>
        <v>13892.5</v>
      </c>
      <c r="I94" s="18" t="s">
        <v>836</v>
      </c>
      <c r="J94" s="27"/>
      <c r="K94" s="27"/>
    </row>
    <row r="95" spans="2:12" x14ac:dyDescent="0.25">
      <c r="B95" s="17">
        <v>95</v>
      </c>
      <c r="C95" s="17"/>
      <c r="D95" s="19" t="s">
        <v>897</v>
      </c>
      <c r="E95" s="18">
        <v>1</v>
      </c>
      <c r="F95" s="18" t="s">
        <v>760</v>
      </c>
      <c r="G95" s="25">
        <v>4430</v>
      </c>
      <c r="H95" s="25">
        <f t="shared" si="2"/>
        <v>4430</v>
      </c>
      <c r="I95" s="18" t="s">
        <v>836</v>
      </c>
      <c r="J95" s="27"/>
      <c r="K95" s="27"/>
    </row>
    <row r="96" spans="2:12" x14ac:dyDescent="0.25">
      <c r="B96" s="17">
        <v>96</v>
      </c>
      <c r="C96" s="17"/>
      <c r="D96" s="19" t="s">
        <v>796</v>
      </c>
      <c r="E96" s="18">
        <v>1</v>
      </c>
      <c r="F96" s="18" t="s">
        <v>760</v>
      </c>
      <c r="G96" s="25">
        <v>670000</v>
      </c>
      <c r="H96" s="25">
        <f t="shared" si="2"/>
        <v>670000</v>
      </c>
      <c r="I96" s="18" t="s">
        <v>836</v>
      </c>
      <c r="J96" s="27"/>
      <c r="K96" s="27"/>
      <c r="L96" s="14"/>
    </row>
    <row r="97" spans="2:12" x14ac:dyDescent="0.25">
      <c r="B97" s="17">
        <v>97</v>
      </c>
      <c r="C97" s="17"/>
      <c r="D97" s="19" t="s">
        <v>827</v>
      </c>
      <c r="E97" s="52">
        <f>8*4.2*0.35</f>
        <v>11.76</v>
      </c>
      <c r="F97" s="18" t="s">
        <v>759</v>
      </c>
      <c r="G97" s="25">
        <v>670</v>
      </c>
      <c r="H97" s="25">
        <f t="shared" si="2"/>
        <v>7879.2</v>
      </c>
      <c r="I97" s="18" t="s">
        <v>836</v>
      </c>
      <c r="J97" s="27"/>
      <c r="K97" s="27"/>
    </row>
    <row r="98" spans="2:12" x14ac:dyDescent="0.25">
      <c r="B98" s="17">
        <v>98</v>
      </c>
      <c r="C98" s="17"/>
      <c r="D98" s="19" t="s">
        <v>828</v>
      </c>
      <c r="E98" s="18">
        <v>600</v>
      </c>
      <c r="F98" s="18" t="s">
        <v>811</v>
      </c>
      <c r="G98" s="25">
        <v>9.99</v>
      </c>
      <c r="H98" s="25">
        <f t="shared" ref="H98" si="3">G98*E98</f>
        <v>5994</v>
      </c>
      <c r="I98" s="18" t="s">
        <v>836</v>
      </c>
      <c r="J98" s="27"/>
      <c r="K98" s="27"/>
      <c r="L98" s="14" t="s">
        <v>812</v>
      </c>
    </row>
    <row r="99" spans="2:12" x14ac:dyDescent="0.25">
      <c r="B99" s="18"/>
      <c r="C99" s="18"/>
      <c r="D99" s="19"/>
      <c r="E99" s="18"/>
      <c r="F99" s="18"/>
      <c r="G99" s="20"/>
      <c r="H99" s="23"/>
      <c r="I99" s="18"/>
      <c r="J99" s="27"/>
      <c r="K99" s="27"/>
    </row>
    <row r="100" spans="2:12" x14ac:dyDescent="0.25">
      <c r="B100" s="18"/>
      <c r="C100" s="18"/>
      <c r="D100" s="19"/>
      <c r="E100" s="18"/>
      <c r="F100" s="18"/>
      <c r="G100" s="20" t="s">
        <v>925</v>
      </c>
      <c r="H100" s="23" t="s">
        <v>926</v>
      </c>
      <c r="I100" s="18"/>
      <c r="J100" s="27"/>
      <c r="K100" s="27"/>
    </row>
    <row r="101" spans="2:12" x14ac:dyDescent="0.25">
      <c r="D101" s="21"/>
      <c r="E101" s="22"/>
      <c r="F101" s="22"/>
      <c r="H101" s="16">
        <f>SUM(Tabela24[Preço Total])</f>
        <v>5833096.2741069021</v>
      </c>
    </row>
    <row r="102" spans="2:12" x14ac:dyDescent="0.25">
      <c r="D102" s="28"/>
      <c r="E102" s="29"/>
      <c r="F102" s="29"/>
    </row>
    <row r="105" spans="2:12" x14ac:dyDescent="0.25">
      <c r="H105" s="26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G22"/>
  <sheetViews>
    <sheetView workbookViewId="0">
      <selection activeCell="D29" sqref="D29"/>
    </sheetView>
  </sheetViews>
  <sheetFormatPr defaultRowHeight="15" x14ac:dyDescent="0.25"/>
  <cols>
    <col min="3" max="3" width="23.7109375" style="24" customWidth="1"/>
    <col min="4" max="4" width="23.7109375" customWidth="1"/>
    <col min="5" max="7" width="12.7109375" customWidth="1"/>
    <col min="8" max="8" width="13.28515625" customWidth="1"/>
  </cols>
  <sheetData>
    <row r="2" spans="3:7" x14ac:dyDescent="0.25">
      <c r="C2" s="36" t="s">
        <v>910</v>
      </c>
      <c r="D2" s="37">
        <f>'DPA IV'!H101</f>
        <v>5833096.2741069021</v>
      </c>
    </row>
    <row r="3" spans="3:7" x14ac:dyDescent="0.25">
      <c r="D3" s="37"/>
    </row>
    <row r="4" spans="3:7" s="14" customFormat="1" x14ac:dyDescent="0.25">
      <c r="C4" s="24" t="s">
        <v>767</v>
      </c>
      <c r="D4" s="14" t="s">
        <v>905</v>
      </c>
      <c r="E4" s="14" t="s">
        <v>802</v>
      </c>
      <c r="F4" s="14" t="s">
        <v>906</v>
      </c>
      <c r="G4" s="14" t="s">
        <v>907</v>
      </c>
    </row>
    <row r="5" spans="3:7" x14ac:dyDescent="0.25">
      <c r="C5" s="24" t="s">
        <v>772</v>
      </c>
      <c r="D5" s="35">
        <f>SUMIF(Tabela24[Aplicação],"Pré Moldado",Tabela24[Preço Total])</f>
        <v>992504</v>
      </c>
      <c r="E5" s="41">
        <f t="shared" ref="E5:E21" si="0">D5/$D$2</f>
        <v>0.17015045755471625</v>
      </c>
      <c r="F5" s="14"/>
      <c r="G5" s="14"/>
    </row>
    <row r="6" spans="3:7" x14ac:dyDescent="0.25">
      <c r="C6" s="24" t="s">
        <v>780</v>
      </c>
      <c r="D6" s="35">
        <f>SUMIF(Tabela24[Aplicação],"Terraplanagem",Tabela24[Preço Total])</f>
        <v>908615.35</v>
      </c>
      <c r="E6" s="41">
        <f t="shared" si="0"/>
        <v>0.15576896168049564</v>
      </c>
      <c r="F6" s="14"/>
      <c r="G6" s="14"/>
    </row>
    <row r="7" spans="3:7" x14ac:dyDescent="0.25">
      <c r="C7" s="24" t="s">
        <v>835</v>
      </c>
      <c r="D7" s="35">
        <f>SUMIF(Tabela24[Aplicação],"Docas de Carregamento",Tabela24[Preço Total])</f>
        <v>893801.0010256411</v>
      </c>
      <c r="E7" s="41">
        <f t="shared" si="0"/>
        <v>0.15322925578876886</v>
      </c>
      <c r="F7" s="38"/>
      <c r="G7" s="14"/>
    </row>
    <row r="8" spans="3:7" x14ac:dyDescent="0.25">
      <c r="C8" s="24" t="s">
        <v>836</v>
      </c>
      <c r="D8" s="35">
        <f>SUMIF(Tabela24[Aplicação],"Tratamento de Esgoto",Tabela24[Preço Total])</f>
        <v>795383.2</v>
      </c>
      <c r="E8" s="41">
        <f t="shared" si="0"/>
        <v>0.13635694708669627</v>
      </c>
      <c r="F8" s="14"/>
      <c r="G8" s="14"/>
    </row>
    <row r="9" spans="3:7" x14ac:dyDescent="0.25">
      <c r="C9" s="24" t="s">
        <v>779</v>
      </c>
      <c r="D9" s="35">
        <f>SUMIF(Tabela24[Aplicação],"AVCB",Tabela24[Preço Total])</f>
        <v>0</v>
      </c>
      <c r="E9" s="41">
        <f t="shared" si="0"/>
        <v>0</v>
      </c>
      <c r="F9" s="38"/>
      <c r="G9" s="14"/>
    </row>
    <row r="10" spans="3:7" x14ac:dyDescent="0.25">
      <c r="C10" s="24" t="s">
        <v>771</v>
      </c>
      <c r="D10" s="35">
        <f>SUMIF(Tabela24[Aplicação],"Fundação",Tabela24[Preço Total])</f>
        <v>428952.4</v>
      </c>
      <c r="E10" s="41">
        <f t="shared" si="0"/>
        <v>7.3537685620605739E-2</v>
      </c>
      <c r="F10" s="38"/>
      <c r="G10" s="14"/>
    </row>
    <row r="11" spans="3:7" x14ac:dyDescent="0.25">
      <c r="C11" s="24" t="s">
        <v>833</v>
      </c>
      <c r="D11" s="35">
        <f>SUMIF(Tabela24[Aplicação],"Piso Galpão DPA IV",Tabela24[Preço Total])</f>
        <v>387429.61538461538</v>
      </c>
      <c r="E11" s="41">
        <f t="shared" si="0"/>
        <v>6.6419204686268316E-2</v>
      </c>
      <c r="F11" s="38"/>
      <c r="G11" s="14"/>
    </row>
    <row r="12" spans="3:7" x14ac:dyDescent="0.25">
      <c r="C12" s="24" t="s">
        <v>831</v>
      </c>
      <c r="D12" s="35">
        <f>SUMIF(Tabela24[Aplicação],"Piso Pátio de Manobra",Tabela24[Preço Total])</f>
        <v>353535.24615384615</v>
      </c>
      <c r="E12" s="41">
        <f t="shared" si="0"/>
        <v>6.0608505250151296E-2</v>
      </c>
      <c r="F12" s="14"/>
      <c r="G12" s="14"/>
    </row>
    <row r="13" spans="3:7" x14ac:dyDescent="0.25">
      <c r="C13" s="24" t="s">
        <v>837</v>
      </c>
      <c r="D13" s="35">
        <f>SUMIF(Tabela24[Aplicação],"Serviço Preliminar",Tabela24[Preço Total])</f>
        <v>117450</v>
      </c>
      <c r="E13" s="41">
        <f t="shared" si="0"/>
        <v>2.013510397922973E-2</v>
      </c>
      <c r="F13" s="14"/>
      <c r="G13" s="14"/>
    </row>
    <row r="14" spans="3:7" x14ac:dyDescent="0.25">
      <c r="C14" s="24" t="s">
        <v>868</v>
      </c>
      <c r="D14" s="35">
        <f>SUMIF(Tabela24[Aplicação],"Drenagem Pluvial",Tabela24[Preço Total])</f>
        <v>103849.27999999998</v>
      </c>
      <c r="E14" s="41">
        <f t="shared" si="0"/>
        <v>1.7803457224079541E-2</v>
      </c>
      <c r="F14" s="38"/>
      <c r="G14" s="14"/>
    </row>
    <row r="15" spans="3:7" x14ac:dyDescent="0.25">
      <c r="C15" s="24" t="s">
        <v>774</v>
      </c>
      <c r="D15" s="35">
        <f>SUMIF(Tabela24[Aplicação],"Fechamento Lateral",Tabela24[Preço Total])</f>
        <v>102596.93156880001</v>
      </c>
      <c r="E15" s="41">
        <f t="shared" si="0"/>
        <v>1.7588760196574758E-2</v>
      </c>
      <c r="F15" s="38"/>
      <c r="G15" s="14"/>
    </row>
    <row r="16" spans="3:7" x14ac:dyDescent="0.25">
      <c r="C16" s="24" t="s">
        <v>791</v>
      </c>
      <c r="D16" s="35">
        <f>SUMIF(Tabela24[Aplicação],"Telhado",Tabela24[Preço Total])</f>
        <v>85555.13</v>
      </c>
      <c r="E16" s="41">
        <f t="shared" si="0"/>
        <v>1.466718977017043E-2</v>
      </c>
      <c r="F16" s="14"/>
      <c r="G16" s="14"/>
    </row>
    <row r="17" spans="3:7" x14ac:dyDescent="0.25">
      <c r="C17" s="24" t="s">
        <v>806</v>
      </c>
      <c r="D17" s="35">
        <f>SUMIF(Tabela24[Aplicação],"Fechamento Frontal",Tabela24[Preço Total])</f>
        <v>44742.619974000001</v>
      </c>
      <c r="E17" s="41">
        <f t="shared" si="0"/>
        <v>7.6704751424406222E-3</v>
      </c>
      <c r="F17" s="38"/>
      <c r="G17" s="14"/>
    </row>
    <row r="18" spans="3:7" x14ac:dyDescent="0.25">
      <c r="C18" s="24" t="s">
        <v>909</v>
      </c>
      <c r="D18" s="35">
        <f>SUMIF(Tabela24[Aplicação],"Sala Coordenação",Tabela24[Preço Total])</f>
        <v>42000</v>
      </c>
      <c r="E18" s="41">
        <f t="shared" si="0"/>
        <v>7.20029261070795E-3</v>
      </c>
      <c r="F18" s="14"/>
      <c r="G18" s="14"/>
    </row>
    <row r="19" spans="3:7" x14ac:dyDescent="0.25">
      <c r="C19" s="24" t="s">
        <v>902</v>
      </c>
      <c r="D19" s="35">
        <f>SUMIF(Tabela24[Aplicação],"Iluminação Galpão",Tabela24[Preço Total])</f>
        <v>76639.5</v>
      </c>
      <c r="E19" s="41">
        <f t="shared" si="0"/>
        <v>1.3138733941389331E-2</v>
      </c>
      <c r="F19" s="38"/>
      <c r="G19" s="14"/>
    </row>
    <row r="20" spans="3:7" x14ac:dyDescent="0.25">
      <c r="C20" s="24" t="s">
        <v>576</v>
      </c>
      <c r="D20" s="35">
        <f>SUMIF(Tabela24[Aplicação],"Pintura",Tabela24[Preço Total])</f>
        <v>5360</v>
      </c>
      <c r="E20" s="41">
        <f t="shared" si="0"/>
        <v>9.1889448555701448E-4</v>
      </c>
      <c r="F20" s="38"/>
      <c r="G20" s="14"/>
    </row>
    <row r="21" spans="3:7" x14ac:dyDescent="0.25">
      <c r="C21" s="24" t="s">
        <v>798</v>
      </c>
      <c r="D21" s="35">
        <f>SUMIF(Tabela24[Aplicação],"Armazenamento",Tabela24[Preço Total])</f>
        <v>0</v>
      </c>
      <c r="E21" s="41">
        <f t="shared" si="0"/>
        <v>0</v>
      </c>
      <c r="F21" s="14"/>
      <c r="G21" s="14"/>
    </row>
    <row r="22" spans="3:7" x14ac:dyDescent="0.25">
      <c r="E22" s="14"/>
      <c r="F22" s="14"/>
      <c r="G22" s="14"/>
    </row>
  </sheetData>
  <autoFilter ref="C4:G4">
    <sortState ref="C5:G22">
      <sortCondition descending="1" ref="E4"/>
    </sortState>
  </autoFilter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83"/>
  <sheetViews>
    <sheetView showGridLines="0" tabSelected="1" zoomScale="85" zoomScaleNormal="85" workbookViewId="0">
      <selection activeCell="H56" sqref="H56"/>
    </sheetView>
  </sheetViews>
  <sheetFormatPr defaultRowHeight="15" x14ac:dyDescent="0.25"/>
  <cols>
    <col min="1" max="1" width="36.28515625" style="30" customWidth="1"/>
    <col min="2" max="2" width="13.28515625" style="15" customWidth="1"/>
    <col min="3" max="3" width="101.42578125" style="30" customWidth="1"/>
    <col min="4" max="4" width="13.5703125" style="15" customWidth="1"/>
    <col min="5" max="5" width="10.7109375" style="15" customWidth="1"/>
    <col min="6" max="6" width="17.28515625" style="15" customWidth="1"/>
    <col min="7" max="7" width="18.28515625" style="15" customWidth="1"/>
    <col min="8" max="8" width="27.42578125" style="15" bestFit="1" customWidth="1"/>
    <col min="9" max="9" width="66.140625" style="15" bestFit="1" customWidth="1"/>
    <col min="10" max="10" width="67.28515625" style="15" customWidth="1"/>
    <col min="11" max="16384" width="9.140625" style="30"/>
  </cols>
  <sheetData>
    <row r="3" spans="2:10" s="15" customFormat="1" x14ac:dyDescent="0.25">
      <c r="B3" s="15" t="s">
        <v>753</v>
      </c>
      <c r="C3" s="30" t="s">
        <v>754</v>
      </c>
      <c r="D3" s="15" t="s">
        <v>755</v>
      </c>
      <c r="E3" s="15" t="s">
        <v>756</v>
      </c>
      <c r="F3" s="15" t="s">
        <v>764</v>
      </c>
      <c r="G3" s="15" t="s">
        <v>765</v>
      </c>
      <c r="H3" s="15" t="s">
        <v>767</v>
      </c>
      <c r="I3" s="15" t="s">
        <v>924</v>
      </c>
    </row>
    <row r="4" spans="2:10" s="15" customFormat="1" x14ac:dyDescent="0.25">
      <c r="B4" s="31">
        <v>1</v>
      </c>
      <c r="C4" s="32" t="s">
        <v>875</v>
      </c>
      <c r="D4" s="33">
        <v>1</v>
      </c>
      <c r="E4" s="33" t="s">
        <v>760</v>
      </c>
      <c r="F4" s="20"/>
      <c r="G4" s="20">
        <f t="shared" ref="G4:G18" si="0">F4*D4</f>
        <v>0</v>
      </c>
      <c r="H4" s="33" t="s">
        <v>798</v>
      </c>
      <c r="I4" s="31"/>
      <c r="J4" s="34" t="s">
        <v>860</v>
      </c>
    </row>
    <row r="5" spans="2:10" x14ac:dyDescent="0.25">
      <c r="B5" s="31">
        <v>2</v>
      </c>
      <c r="C5" s="43" t="s">
        <v>776</v>
      </c>
      <c r="D5" s="31">
        <v>1</v>
      </c>
      <c r="E5" s="31" t="s">
        <v>760</v>
      </c>
      <c r="F5" s="44">
        <f>212518+208594</f>
        <v>421112</v>
      </c>
      <c r="G5" s="44">
        <f t="shared" si="0"/>
        <v>421112</v>
      </c>
      <c r="H5" s="31" t="s">
        <v>920</v>
      </c>
      <c r="I5" s="31"/>
    </row>
    <row r="6" spans="2:10" x14ac:dyDescent="0.25">
      <c r="B6" s="31">
        <v>3</v>
      </c>
      <c r="C6" s="43" t="s">
        <v>822</v>
      </c>
      <c r="D6" s="31">
        <v>1</v>
      </c>
      <c r="E6" s="31" t="s">
        <v>760</v>
      </c>
      <c r="F6" s="44">
        <v>6650</v>
      </c>
      <c r="G6" s="44">
        <f t="shared" si="0"/>
        <v>6650</v>
      </c>
      <c r="H6" s="31" t="s">
        <v>920</v>
      </c>
      <c r="I6" s="31"/>
    </row>
    <row r="7" spans="2:10" x14ac:dyDescent="0.25">
      <c r="B7" s="31">
        <v>4</v>
      </c>
      <c r="C7" s="43" t="s">
        <v>861</v>
      </c>
      <c r="D7" s="31">
        <v>10</v>
      </c>
      <c r="E7" s="31" t="s">
        <v>881</v>
      </c>
      <c r="F7" s="44">
        <v>198.72</v>
      </c>
      <c r="G7" s="44">
        <f t="shared" si="0"/>
        <v>1987.2</v>
      </c>
      <c r="H7" s="31" t="s">
        <v>868</v>
      </c>
      <c r="I7" s="31"/>
    </row>
    <row r="8" spans="2:10" x14ac:dyDescent="0.25">
      <c r="B8" s="31">
        <v>5</v>
      </c>
      <c r="C8" s="43" t="s">
        <v>864</v>
      </c>
      <c r="D8" s="31">
        <v>25</v>
      </c>
      <c r="E8" s="31" t="s">
        <v>881</v>
      </c>
      <c r="F8" s="44">
        <v>484.24</v>
      </c>
      <c r="G8" s="44">
        <f t="shared" si="0"/>
        <v>12106</v>
      </c>
      <c r="H8" s="31" t="s">
        <v>868</v>
      </c>
      <c r="I8" s="31"/>
    </row>
    <row r="9" spans="2:10" x14ac:dyDescent="0.25">
      <c r="B9" s="31">
        <v>6</v>
      </c>
      <c r="C9" s="43" t="s">
        <v>867</v>
      </c>
      <c r="D9" s="31">
        <v>8</v>
      </c>
      <c r="E9" s="31" t="s">
        <v>760</v>
      </c>
      <c r="F9" s="44">
        <v>703.93</v>
      </c>
      <c r="G9" s="44">
        <f t="shared" si="0"/>
        <v>5631.44</v>
      </c>
      <c r="H9" s="31" t="s">
        <v>868</v>
      </c>
      <c r="I9" s="31"/>
    </row>
    <row r="10" spans="2:10" x14ac:dyDescent="0.25">
      <c r="B10" s="31">
        <v>7</v>
      </c>
      <c r="C10" s="43" t="s">
        <v>862</v>
      </c>
      <c r="D10" s="31">
        <v>24</v>
      </c>
      <c r="E10" s="31" t="s">
        <v>760</v>
      </c>
      <c r="F10" s="44">
        <v>49.05</v>
      </c>
      <c r="G10" s="44">
        <f t="shared" si="0"/>
        <v>1177.1999999999998</v>
      </c>
      <c r="H10" s="31" t="s">
        <v>868</v>
      </c>
      <c r="I10" s="31"/>
    </row>
    <row r="11" spans="2:10" x14ac:dyDescent="0.25">
      <c r="B11" s="31">
        <v>8</v>
      </c>
      <c r="C11" s="43" t="s">
        <v>865</v>
      </c>
      <c r="D11" s="31">
        <v>2</v>
      </c>
      <c r="E11" s="31" t="s">
        <v>760</v>
      </c>
      <c r="F11" s="44">
        <v>151.19999999999999</v>
      </c>
      <c r="G11" s="44">
        <f t="shared" si="0"/>
        <v>302.39999999999998</v>
      </c>
      <c r="H11" s="31" t="s">
        <v>868</v>
      </c>
      <c r="I11" s="31"/>
    </row>
    <row r="12" spans="2:10" x14ac:dyDescent="0.25">
      <c r="B12" s="31">
        <v>9</v>
      </c>
      <c r="C12" s="43" t="s">
        <v>866</v>
      </c>
      <c r="D12" s="31">
        <v>2</v>
      </c>
      <c r="E12" s="31" t="s">
        <v>760</v>
      </c>
      <c r="F12" s="44">
        <v>48.38</v>
      </c>
      <c r="G12" s="44">
        <f t="shared" si="0"/>
        <v>96.76</v>
      </c>
      <c r="H12" s="31" t="s">
        <v>868</v>
      </c>
      <c r="I12" s="31"/>
    </row>
    <row r="13" spans="2:10" x14ac:dyDescent="0.25">
      <c r="B13" s="31">
        <v>10</v>
      </c>
      <c r="C13" s="43" t="s">
        <v>863</v>
      </c>
      <c r="D13" s="31">
        <v>12</v>
      </c>
      <c r="E13" s="31" t="s">
        <v>760</v>
      </c>
      <c r="F13" s="44">
        <v>27.14</v>
      </c>
      <c r="G13" s="44">
        <f t="shared" si="0"/>
        <v>325.68</v>
      </c>
      <c r="H13" s="31" t="s">
        <v>868</v>
      </c>
      <c r="I13" s="31"/>
    </row>
    <row r="14" spans="2:10" x14ac:dyDescent="0.25">
      <c r="B14" s="31">
        <v>11</v>
      </c>
      <c r="C14" s="43" t="s">
        <v>816</v>
      </c>
      <c r="D14" s="31">
        <v>1</v>
      </c>
      <c r="E14" s="31" t="s">
        <v>760</v>
      </c>
      <c r="F14" s="44">
        <v>1056959.67</v>
      </c>
      <c r="G14" s="44">
        <f t="shared" si="0"/>
        <v>1056959.67</v>
      </c>
      <c r="H14" s="31" t="s">
        <v>891</v>
      </c>
      <c r="I14" s="31"/>
    </row>
    <row r="15" spans="2:10" x14ac:dyDescent="0.25">
      <c r="B15" s="31">
        <v>12</v>
      </c>
      <c r="C15" s="43" t="s">
        <v>892</v>
      </c>
      <c r="D15" s="31">
        <v>1</v>
      </c>
      <c r="E15" s="31" t="s">
        <v>760</v>
      </c>
      <c r="F15" s="44">
        <v>163890</v>
      </c>
      <c r="G15" s="44">
        <f t="shared" si="0"/>
        <v>163890</v>
      </c>
      <c r="H15" s="31" t="s">
        <v>891</v>
      </c>
      <c r="I15" s="31"/>
    </row>
    <row r="16" spans="2:10" x14ac:dyDescent="0.25">
      <c r="B16" s="31">
        <v>13</v>
      </c>
      <c r="C16" s="43" t="s">
        <v>805</v>
      </c>
      <c r="D16" s="45">
        <f>50*1.02</f>
        <v>51</v>
      </c>
      <c r="E16" s="31" t="s">
        <v>760</v>
      </c>
      <c r="F16" s="44">
        <v>243.39</v>
      </c>
      <c r="G16" s="44">
        <f t="shared" si="0"/>
        <v>12412.89</v>
      </c>
      <c r="H16" s="31" t="s">
        <v>806</v>
      </c>
      <c r="I16" s="31"/>
      <c r="J16" s="34" t="s">
        <v>852</v>
      </c>
    </row>
    <row r="17" spans="2:10" x14ac:dyDescent="0.25">
      <c r="B17" s="31">
        <v>14</v>
      </c>
      <c r="C17" s="43" t="s">
        <v>807</v>
      </c>
      <c r="D17" s="45">
        <v>51</v>
      </c>
      <c r="E17" s="31" t="s">
        <v>760</v>
      </c>
      <c r="F17" s="44">
        <v>119.7</v>
      </c>
      <c r="G17" s="44">
        <f t="shared" si="0"/>
        <v>6104.7</v>
      </c>
      <c r="H17" s="31" t="s">
        <v>806</v>
      </c>
      <c r="I17" s="31"/>
    </row>
    <row r="18" spans="2:10" x14ac:dyDescent="0.25">
      <c r="B18" s="31">
        <v>15</v>
      </c>
      <c r="C18" s="43" t="s">
        <v>805</v>
      </c>
      <c r="D18" s="45">
        <f>(40*1.02)*4</f>
        <v>163.19999999999999</v>
      </c>
      <c r="E18" s="31" t="s">
        <v>760</v>
      </c>
      <c r="F18" s="44">
        <v>243.39</v>
      </c>
      <c r="G18" s="44">
        <f t="shared" si="0"/>
        <v>39721.247999999992</v>
      </c>
      <c r="H18" s="31" t="s">
        <v>774</v>
      </c>
      <c r="I18" s="31"/>
    </row>
    <row r="19" spans="2:10" x14ac:dyDescent="0.25">
      <c r="B19" s="31">
        <v>16</v>
      </c>
      <c r="C19" s="43" t="s">
        <v>874</v>
      </c>
      <c r="D19" s="31">
        <v>180</v>
      </c>
      <c r="E19" s="33" t="s">
        <v>761</v>
      </c>
      <c r="F19" s="25">
        <v>23.90625</v>
      </c>
      <c r="G19" s="25">
        <f>Tabela2[[#This Row],[Preço Unitário]]*Tabela2[[#This Row],[Quantidade]]</f>
        <v>4303.125</v>
      </c>
      <c r="H19" s="33" t="s">
        <v>774</v>
      </c>
      <c r="I19" s="31"/>
    </row>
    <row r="20" spans="2:10" x14ac:dyDescent="0.25">
      <c r="B20" s="31">
        <v>17</v>
      </c>
      <c r="C20" s="32" t="s">
        <v>778</v>
      </c>
      <c r="D20" s="33">
        <v>50</v>
      </c>
      <c r="E20" s="33" t="s">
        <v>761</v>
      </c>
      <c r="F20" s="25">
        <v>32</v>
      </c>
      <c r="G20" s="25">
        <f>F20*D20</f>
        <v>1600</v>
      </c>
      <c r="H20" s="33" t="s">
        <v>774</v>
      </c>
      <c r="I20" s="31"/>
    </row>
    <row r="21" spans="2:10" x14ac:dyDescent="0.25">
      <c r="B21" s="31">
        <v>18</v>
      </c>
      <c r="C21" s="32" t="s">
        <v>871</v>
      </c>
      <c r="D21" s="33">
        <v>6</v>
      </c>
      <c r="E21" s="33" t="s">
        <v>761</v>
      </c>
      <c r="F21" s="25">
        <v>419</v>
      </c>
      <c r="G21" s="25">
        <f>F21*D21</f>
        <v>2514</v>
      </c>
      <c r="H21" s="33" t="s">
        <v>774</v>
      </c>
      <c r="I21" s="31"/>
    </row>
    <row r="22" spans="2:10" x14ac:dyDescent="0.25">
      <c r="B22" s="31">
        <v>19</v>
      </c>
      <c r="C22" s="32" t="s">
        <v>813</v>
      </c>
      <c r="D22" s="33">
        <v>1</v>
      </c>
      <c r="E22" s="33" t="s">
        <v>760</v>
      </c>
      <c r="F22" s="25">
        <f>23500+7500</f>
        <v>31000</v>
      </c>
      <c r="G22" s="25">
        <f>F22*D22</f>
        <v>31000</v>
      </c>
      <c r="H22" s="33" t="s">
        <v>774</v>
      </c>
      <c r="I22" s="31"/>
    </row>
    <row r="23" spans="2:10" x14ac:dyDescent="0.25">
      <c r="B23" s="31">
        <v>20</v>
      </c>
      <c r="C23" s="46" t="s">
        <v>790</v>
      </c>
      <c r="D23" s="47">
        <v>4</v>
      </c>
      <c r="E23" s="47" t="s">
        <v>760</v>
      </c>
      <c r="F23" s="48">
        <v>1500</v>
      </c>
      <c r="G23" s="48">
        <f>Tabela2[[#This Row],[Preço Unitário]]*Tabela2[[#This Row],[Quantidade]]</f>
        <v>6000</v>
      </c>
      <c r="H23" s="47" t="s">
        <v>771</v>
      </c>
      <c r="I23" s="31"/>
    </row>
    <row r="24" spans="2:10" x14ac:dyDescent="0.25">
      <c r="B24" s="31">
        <v>21</v>
      </c>
      <c r="C24" s="43" t="s">
        <v>789</v>
      </c>
      <c r="D24" s="31">
        <v>1</v>
      </c>
      <c r="E24" s="31" t="s">
        <v>760</v>
      </c>
      <c r="F24" s="44">
        <v>4500</v>
      </c>
      <c r="G24" s="44">
        <f t="shared" ref="G24:G51" si="1">F24*D24</f>
        <v>4500</v>
      </c>
      <c r="H24" s="31" t="s">
        <v>771</v>
      </c>
      <c r="I24" s="31"/>
    </row>
    <row r="25" spans="2:10" x14ac:dyDescent="0.25">
      <c r="B25" s="31">
        <v>22</v>
      </c>
      <c r="C25" s="43" t="s">
        <v>769</v>
      </c>
      <c r="D25" s="31">
        <v>2100</v>
      </c>
      <c r="E25" s="31" t="s">
        <v>811</v>
      </c>
      <c r="F25" s="44">
        <v>9.65</v>
      </c>
      <c r="G25" s="44">
        <f t="shared" si="1"/>
        <v>20265</v>
      </c>
      <c r="H25" s="31" t="s">
        <v>771</v>
      </c>
      <c r="I25" s="31"/>
    </row>
    <row r="26" spans="2:10" x14ac:dyDescent="0.25">
      <c r="B26" s="31">
        <v>23</v>
      </c>
      <c r="C26" s="43" t="s">
        <v>770</v>
      </c>
      <c r="D26" s="31">
        <v>2300</v>
      </c>
      <c r="E26" s="31" t="s">
        <v>811</v>
      </c>
      <c r="F26" s="44">
        <v>9.65</v>
      </c>
      <c r="G26" s="44">
        <f t="shared" si="1"/>
        <v>22195</v>
      </c>
      <c r="H26" s="31" t="s">
        <v>771</v>
      </c>
      <c r="I26" s="31"/>
    </row>
    <row r="27" spans="2:10" x14ac:dyDescent="0.25">
      <c r="B27" s="31">
        <v>24</v>
      </c>
      <c r="C27" s="43" t="s">
        <v>808</v>
      </c>
      <c r="D27" s="31">
        <v>1</v>
      </c>
      <c r="E27" s="31" t="s">
        <v>760</v>
      </c>
      <c r="F27" s="44">
        <v>51500</v>
      </c>
      <c r="G27" s="44">
        <f t="shared" si="1"/>
        <v>51500</v>
      </c>
      <c r="H27" s="31" t="s">
        <v>771</v>
      </c>
      <c r="I27" s="31"/>
    </row>
    <row r="28" spans="2:10" x14ac:dyDescent="0.25">
      <c r="B28" s="31">
        <v>25</v>
      </c>
      <c r="C28" s="43" t="s">
        <v>809</v>
      </c>
      <c r="D28" s="45">
        <v>46.8</v>
      </c>
      <c r="E28" s="31" t="s">
        <v>759</v>
      </c>
      <c r="F28" s="44">
        <v>670</v>
      </c>
      <c r="G28" s="44">
        <f t="shared" si="1"/>
        <v>31355.999999999996</v>
      </c>
      <c r="H28" s="31" t="s">
        <v>771</v>
      </c>
      <c r="I28" s="31"/>
      <c r="J28" s="15" t="s">
        <v>812</v>
      </c>
    </row>
    <row r="29" spans="2:10" x14ac:dyDescent="0.25">
      <c r="B29" s="31">
        <v>26</v>
      </c>
      <c r="C29" s="43" t="s">
        <v>810</v>
      </c>
      <c r="D29" s="45">
        <v>37.200000000000003</v>
      </c>
      <c r="E29" s="31" t="s">
        <v>759</v>
      </c>
      <c r="F29" s="44">
        <v>670</v>
      </c>
      <c r="G29" s="44">
        <f t="shared" si="1"/>
        <v>24924.000000000004</v>
      </c>
      <c r="H29" s="31" t="s">
        <v>771</v>
      </c>
      <c r="I29" s="31"/>
      <c r="J29" s="15" t="s">
        <v>812</v>
      </c>
    </row>
    <row r="30" spans="2:10" x14ac:dyDescent="0.25">
      <c r="B30" s="31">
        <v>27</v>
      </c>
      <c r="C30" s="43" t="s">
        <v>844</v>
      </c>
      <c r="D30" s="31">
        <v>30</v>
      </c>
      <c r="E30" s="31" t="s">
        <v>760</v>
      </c>
      <c r="F30" s="44">
        <v>120</v>
      </c>
      <c r="G30" s="44">
        <f t="shared" si="1"/>
        <v>3600</v>
      </c>
      <c r="H30" s="31" t="s">
        <v>771</v>
      </c>
      <c r="I30" s="31"/>
    </row>
    <row r="31" spans="2:10" x14ac:dyDescent="0.25">
      <c r="B31" s="31">
        <v>28</v>
      </c>
      <c r="C31" s="32" t="s">
        <v>850</v>
      </c>
      <c r="D31" s="33">
        <v>10</v>
      </c>
      <c r="E31" s="33" t="s">
        <v>760</v>
      </c>
      <c r="F31" s="25">
        <v>420</v>
      </c>
      <c r="G31" s="25">
        <f t="shared" si="1"/>
        <v>4200</v>
      </c>
      <c r="H31" s="31" t="s">
        <v>902</v>
      </c>
      <c r="I31" s="31"/>
    </row>
    <row r="32" spans="2:10" x14ac:dyDescent="0.25">
      <c r="B32" s="31">
        <v>29</v>
      </c>
      <c r="C32" s="43" t="s">
        <v>898</v>
      </c>
      <c r="D32" s="33">
        <v>200</v>
      </c>
      <c r="E32" s="33" t="s">
        <v>761</v>
      </c>
      <c r="F32" s="25">
        <v>15</v>
      </c>
      <c r="G32" s="25">
        <f t="shared" si="1"/>
        <v>3000</v>
      </c>
      <c r="H32" s="31" t="s">
        <v>902</v>
      </c>
      <c r="I32" s="31"/>
    </row>
    <row r="33" spans="2:9" x14ac:dyDescent="0.25">
      <c r="B33" s="31">
        <v>30</v>
      </c>
      <c r="C33" s="32" t="s">
        <v>851</v>
      </c>
      <c r="D33" s="33">
        <v>1</v>
      </c>
      <c r="E33" s="33" t="s">
        <v>760</v>
      </c>
      <c r="F33" s="25">
        <f>119439/2</f>
        <v>59719.5</v>
      </c>
      <c r="G33" s="25">
        <f t="shared" si="1"/>
        <v>59719.5</v>
      </c>
      <c r="H33" s="31" t="s">
        <v>902</v>
      </c>
      <c r="I33" s="31"/>
    </row>
    <row r="34" spans="2:9" x14ac:dyDescent="0.25">
      <c r="B34" s="31">
        <v>31</v>
      </c>
      <c r="C34" s="32" t="s">
        <v>782</v>
      </c>
      <c r="D34" s="33">
        <v>8</v>
      </c>
      <c r="E34" s="33" t="s">
        <v>760</v>
      </c>
      <c r="F34" s="25">
        <v>280</v>
      </c>
      <c r="G34" s="25">
        <f t="shared" si="1"/>
        <v>2240</v>
      </c>
      <c r="H34" s="33" t="s">
        <v>576</v>
      </c>
      <c r="I34" s="31"/>
    </row>
    <row r="35" spans="2:9" x14ac:dyDescent="0.25">
      <c r="B35" s="31">
        <v>32</v>
      </c>
      <c r="C35" s="32" t="s">
        <v>783</v>
      </c>
      <c r="D35" s="33">
        <v>5</v>
      </c>
      <c r="E35" s="33" t="s">
        <v>760</v>
      </c>
      <c r="F35" s="25">
        <v>380</v>
      </c>
      <c r="G35" s="25">
        <f t="shared" si="1"/>
        <v>1900</v>
      </c>
      <c r="H35" s="33" t="s">
        <v>576</v>
      </c>
      <c r="I35" s="31"/>
    </row>
    <row r="36" spans="2:9" x14ac:dyDescent="0.25">
      <c r="B36" s="31">
        <v>33</v>
      </c>
      <c r="C36" s="32" t="s">
        <v>784</v>
      </c>
      <c r="D36" s="33">
        <v>2</v>
      </c>
      <c r="E36" s="33" t="s">
        <v>760</v>
      </c>
      <c r="F36" s="25">
        <v>290</v>
      </c>
      <c r="G36" s="25">
        <f t="shared" si="1"/>
        <v>580</v>
      </c>
      <c r="H36" s="33" t="s">
        <v>576</v>
      </c>
      <c r="I36" s="31"/>
    </row>
    <row r="37" spans="2:9" x14ac:dyDescent="0.25">
      <c r="B37" s="31">
        <v>34</v>
      </c>
      <c r="C37" s="32" t="s">
        <v>785</v>
      </c>
      <c r="D37" s="33">
        <v>2</v>
      </c>
      <c r="E37" s="33" t="s">
        <v>760</v>
      </c>
      <c r="F37" s="25">
        <v>290</v>
      </c>
      <c r="G37" s="25">
        <f t="shared" si="1"/>
        <v>580</v>
      </c>
      <c r="H37" s="33" t="s">
        <v>576</v>
      </c>
      <c r="I37" s="31"/>
    </row>
    <row r="38" spans="2:9" x14ac:dyDescent="0.25">
      <c r="B38" s="31">
        <v>35</v>
      </c>
      <c r="C38" s="43" t="s">
        <v>757</v>
      </c>
      <c r="D38" s="31">
        <f>(2000*1.05)*0.15</f>
        <v>315</v>
      </c>
      <c r="E38" s="31" t="s">
        <v>759</v>
      </c>
      <c r="F38" s="44">
        <v>670</v>
      </c>
      <c r="G38" s="44">
        <f t="shared" si="1"/>
        <v>211050</v>
      </c>
      <c r="H38" s="31" t="s">
        <v>635</v>
      </c>
      <c r="I38" s="31"/>
    </row>
    <row r="39" spans="2:9" x14ac:dyDescent="0.25">
      <c r="B39" s="31">
        <v>36</v>
      </c>
      <c r="C39" s="43" t="s">
        <v>775</v>
      </c>
      <c r="D39" s="45">
        <f>2000/13*2</f>
        <v>307.69230769230768</v>
      </c>
      <c r="E39" s="31" t="s">
        <v>760</v>
      </c>
      <c r="F39" s="44">
        <v>220.5</v>
      </c>
      <c r="G39" s="44">
        <f t="shared" si="1"/>
        <v>67846.153846153844</v>
      </c>
      <c r="H39" s="31" t="s">
        <v>635</v>
      </c>
      <c r="I39" s="31"/>
    </row>
    <row r="40" spans="2:9" x14ac:dyDescent="0.25">
      <c r="B40" s="31">
        <v>37</v>
      </c>
      <c r="C40" s="43" t="s">
        <v>758</v>
      </c>
      <c r="D40" s="31">
        <v>167</v>
      </c>
      <c r="E40" s="31" t="s">
        <v>797</v>
      </c>
      <c r="F40" s="44">
        <v>56.2</v>
      </c>
      <c r="G40" s="44">
        <f t="shared" si="1"/>
        <v>9385.4</v>
      </c>
      <c r="H40" s="31" t="s">
        <v>635</v>
      </c>
      <c r="I40" s="31"/>
    </row>
    <row r="41" spans="2:9" x14ac:dyDescent="0.25">
      <c r="B41" s="31">
        <v>38</v>
      </c>
      <c r="C41" s="43" t="s">
        <v>762</v>
      </c>
      <c r="D41" s="31">
        <v>1000</v>
      </c>
      <c r="E41" s="31" t="s">
        <v>763</v>
      </c>
      <c r="F41" s="44">
        <v>7.3</v>
      </c>
      <c r="G41" s="44">
        <f t="shared" si="1"/>
        <v>7300</v>
      </c>
      <c r="H41" s="31" t="s">
        <v>635</v>
      </c>
      <c r="I41" s="31"/>
    </row>
    <row r="42" spans="2:9" x14ac:dyDescent="0.25">
      <c r="B42" s="31">
        <v>39</v>
      </c>
      <c r="C42" s="43" t="s">
        <v>792</v>
      </c>
      <c r="D42" s="31">
        <v>315</v>
      </c>
      <c r="E42" s="31" t="s">
        <v>759</v>
      </c>
      <c r="F42" s="44">
        <v>50</v>
      </c>
      <c r="G42" s="44">
        <f t="shared" si="1"/>
        <v>15750</v>
      </c>
      <c r="H42" s="31" t="s">
        <v>635</v>
      </c>
      <c r="I42" s="31"/>
    </row>
    <row r="43" spans="2:9" x14ac:dyDescent="0.25">
      <c r="B43" s="31">
        <v>40</v>
      </c>
      <c r="C43" s="43" t="s">
        <v>768</v>
      </c>
      <c r="D43" s="31">
        <v>1</v>
      </c>
      <c r="E43" s="31" t="s">
        <v>760</v>
      </c>
      <c r="F43" s="44">
        <v>49800</v>
      </c>
      <c r="G43" s="44">
        <f t="shared" si="1"/>
        <v>49800</v>
      </c>
      <c r="H43" s="31" t="s">
        <v>635</v>
      </c>
      <c r="I43" s="31"/>
    </row>
    <row r="44" spans="2:9" x14ac:dyDescent="0.25">
      <c r="B44" s="31">
        <v>41</v>
      </c>
      <c r="C44" s="43" t="s">
        <v>919</v>
      </c>
      <c r="D44" s="31">
        <v>1</v>
      </c>
      <c r="E44" s="31" t="s">
        <v>760</v>
      </c>
      <c r="F44" s="44">
        <v>15000</v>
      </c>
      <c r="G44" s="44">
        <f t="shared" si="1"/>
        <v>15000</v>
      </c>
      <c r="H44" s="31" t="s">
        <v>837</v>
      </c>
      <c r="I44" s="31" t="s">
        <v>919</v>
      </c>
    </row>
    <row r="45" spans="2:9" x14ac:dyDescent="0.25">
      <c r="B45" s="31">
        <v>42</v>
      </c>
      <c r="C45" s="43" t="s">
        <v>786</v>
      </c>
      <c r="D45" s="31">
        <v>1</v>
      </c>
      <c r="E45" s="31" t="s">
        <v>760</v>
      </c>
      <c r="F45" s="44">
        <v>404191.96</v>
      </c>
      <c r="G45" s="44">
        <f t="shared" si="1"/>
        <v>404191.96</v>
      </c>
      <c r="H45" s="31" t="s">
        <v>837</v>
      </c>
      <c r="I45" s="31" t="s">
        <v>786</v>
      </c>
    </row>
    <row r="46" spans="2:9" x14ac:dyDescent="0.25">
      <c r="B46" s="31">
        <v>43</v>
      </c>
      <c r="C46" s="43" t="s">
        <v>921</v>
      </c>
      <c r="D46" s="31">
        <v>1</v>
      </c>
      <c r="E46" s="31" t="s">
        <v>760</v>
      </c>
      <c r="F46" s="44">
        <v>14503</v>
      </c>
      <c r="G46" s="44">
        <f>F46*D46</f>
        <v>14503</v>
      </c>
      <c r="H46" s="31" t="s">
        <v>837</v>
      </c>
      <c r="I46" s="31" t="s">
        <v>921</v>
      </c>
    </row>
    <row r="47" spans="2:9" x14ac:dyDescent="0.25">
      <c r="B47" s="31">
        <v>44</v>
      </c>
      <c r="C47" s="49" t="s">
        <v>845</v>
      </c>
      <c r="D47" s="31">
        <v>1455.89</v>
      </c>
      <c r="E47" s="31" t="s">
        <v>761</v>
      </c>
      <c r="F47" s="44">
        <v>95.9</v>
      </c>
      <c r="G47" s="44">
        <f t="shared" si="1"/>
        <v>139619.85100000002</v>
      </c>
      <c r="H47" s="31" t="s">
        <v>791</v>
      </c>
      <c r="I47" s="31"/>
    </row>
    <row r="48" spans="2:9" x14ac:dyDescent="0.25">
      <c r="B48" s="31">
        <v>45</v>
      </c>
      <c r="C48" s="43" t="s">
        <v>846</v>
      </c>
      <c r="D48" s="31">
        <v>706.94</v>
      </c>
      <c r="E48" s="31" t="s">
        <v>761</v>
      </c>
      <c r="F48" s="44">
        <v>95.9</v>
      </c>
      <c r="G48" s="44">
        <f t="shared" si="1"/>
        <v>67795.546000000002</v>
      </c>
      <c r="H48" s="31" t="s">
        <v>791</v>
      </c>
      <c r="I48" s="31"/>
    </row>
    <row r="49" spans="2:9" x14ac:dyDescent="0.25">
      <c r="B49" s="31">
        <v>46</v>
      </c>
      <c r="C49" s="46" t="s">
        <v>847</v>
      </c>
      <c r="D49" s="31">
        <v>44</v>
      </c>
      <c r="E49" s="31" t="s">
        <v>818</v>
      </c>
      <c r="F49" s="44">
        <v>95</v>
      </c>
      <c r="G49" s="44">
        <f t="shared" si="1"/>
        <v>4180</v>
      </c>
      <c r="H49" s="31" t="s">
        <v>791</v>
      </c>
      <c r="I49" s="31"/>
    </row>
    <row r="50" spans="2:9" x14ac:dyDescent="0.25">
      <c r="B50" s="31">
        <v>47</v>
      </c>
      <c r="C50" s="46" t="s">
        <v>848</v>
      </c>
      <c r="D50" s="31">
        <v>3</v>
      </c>
      <c r="E50" s="31" t="s">
        <v>818</v>
      </c>
      <c r="F50" s="44">
        <v>35</v>
      </c>
      <c r="G50" s="44">
        <f t="shared" si="1"/>
        <v>105</v>
      </c>
      <c r="H50" s="31" t="s">
        <v>791</v>
      </c>
      <c r="I50" s="31"/>
    </row>
    <row r="51" spans="2:9" x14ac:dyDescent="0.25">
      <c r="B51" s="31">
        <v>48</v>
      </c>
      <c r="C51" s="46" t="s">
        <v>849</v>
      </c>
      <c r="D51" s="31">
        <v>126</v>
      </c>
      <c r="E51" s="31" t="s">
        <v>760</v>
      </c>
      <c r="F51" s="44">
        <v>25.9</v>
      </c>
      <c r="G51" s="44">
        <f t="shared" si="1"/>
        <v>3263.3999999999996</v>
      </c>
      <c r="H51" s="31" t="s">
        <v>791</v>
      </c>
      <c r="I51" s="31"/>
    </row>
    <row r="52" spans="2:9" x14ac:dyDescent="0.25">
      <c r="B52" s="31">
        <v>49</v>
      </c>
      <c r="C52" s="46" t="s">
        <v>817</v>
      </c>
      <c r="D52" s="31">
        <v>1</v>
      </c>
      <c r="E52" s="31" t="s">
        <v>760</v>
      </c>
      <c r="F52" s="44">
        <v>1750</v>
      </c>
      <c r="G52" s="44">
        <f>F52*D52</f>
        <v>1750</v>
      </c>
      <c r="H52" s="31" t="s">
        <v>791</v>
      </c>
      <c r="I52" s="31"/>
    </row>
    <row r="53" spans="2:9" x14ac:dyDescent="0.25">
      <c r="B53" s="31">
        <v>50</v>
      </c>
      <c r="C53" s="43" t="s">
        <v>781</v>
      </c>
      <c r="D53" s="31">
        <v>1</v>
      </c>
      <c r="E53" s="31" t="s">
        <v>760</v>
      </c>
      <c r="F53" s="44">
        <v>174417.38</v>
      </c>
      <c r="G53" s="44">
        <f>F53*D53</f>
        <v>174417.38</v>
      </c>
      <c r="H53" s="31" t="s">
        <v>780</v>
      </c>
      <c r="I53" s="31"/>
    </row>
    <row r="54" spans="2:9" x14ac:dyDescent="0.25">
      <c r="B54" s="31">
        <v>51</v>
      </c>
      <c r="C54" s="32" t="s">
        <v>814</v>
      </c>
      <c r="D54" s="33">
        <v>1</v>
      </c>
      <c r="E54" s="33" t="s">
        <v>760</v>
      </c>
      <c r="F54" s="25">
        <v>5000</v>
      </c>
      <c r="G54" s="25">
        <f>F54*D54</f>
        <v>5000</v>
      </c>
      <c r="H54" s="33" t="s">
        <v>815</v>
      </c>
      <c r="I54" s="31"/>
    </row>
    <row r="55" spans="2:9" x14ac:dyDescent="0.25">
      <c r="B55" s="33"/>
      <c r="C55" s="32"/>
      <c r="D55" s="33"/>
      <c r="E55" s="33"/>
      <c r="F55" s="20"/>
      <c r="G55" s="20"/>
      <c r="H55" s="33"/>
      <c r="I55" s="33"/>
    </row>
    <row r="56" spans="2:9" x14ac:dyDescent="0.25">
      <c r="B56" s="33"/>
      <c r="C56" s="32"/>
      <c r="D56" s="33"/>
      <c r="E56" s="33"/>
      <c r="F56" s="20" t="s">
        <v>927</v>
      </c>
      <c r="G56" s="20" t="s">
        <v>928</v>
      </c>
      <c r="H56" s="33"/>
      <c r="I56" s="33"/>
    </row>
    <row r="57" spans="2:9" x14ac:dyDescent="0.25">
      <c r="G57" s="16">
        <f>SUM(Tabela2[Preço Total])</f>
        <v>3195411.5038461541</v>
      </c>
    </row>
    <row r="83" spans="8:9" x14ac:dyDescent="0.25">
      <c r="H83" s="26">
        <f>SUM('Expansão DMP'!G57,H79)</f>
        <v>3195411.5038461541</v>
      </c>
      <c r="I83" s="26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H28"/>
  <sheetViews>
    <sheetView workbookViewId="0">
      <selection activeCell="D8" sqref="D8"/>
    </sheetView>
  </sheetViews>
  <sheetFormatPr defaultRowHeight="15" x14ac:dyDescent="0.25"/>
  <cols>
    <col min="3" max="3" width="26.7109375" customWidth="1"/>
    <col min="4" max="4" width="23.7109375" style="14" customWidth="1"/>
    <col min="5" max="7" width="12.7109375" style="14" customWidth="1"/>
    <col min="8" max="8" width="9.140625" style="14"/>
  </cols>
  <sheetData>
    <row r="2" spans="3:8" x14ac:dyDescent="0.25">
      <c r="C2" s="36" t="s">
        <v>908</v>
      </c>
      <c r="D2" s="39">
        <f>'Expansão DMP'!G57</f>
        <v>3195411.5038461541</v>
      </c>
      <c r="G2" s="14" t="s">
        <v>913</v>
      </c>
      <c r="H2" s="38">
        <v>0.8</v>
      </c>
    </row>
    <row r="3" spans="3:8" x14ac:dyDescent="0.25">
      <c r="C3" s="36"/>
      <c r="D3" s="39"/>
      <c r="G3" s="14" t="s">
        <v>914</v>
      </c>
      <c r="H3" s="38">
        <v>0.81</v>
      </c>
    </row>
    <row r="4" spans="3:8" x14ac:dyDescent="0.25">
      <c r="C4" s="36"/>
      <c r="D4" s="39"/>
      <c r="G4" s="14" t="s">
        <v>915</v>
      </c>
      <c r="H4" s="38">
        <v>0.91</v>
      </c>
    </row>
    <row r="6" spans="3:8" x14ac:dyDescent="0.25">
      <c r="C6" s="14" t="s">
        <v>767</v>
      </c>
      <c r="D6" s="14" t="s">
        <v>905</v>
      </c>
      <c r="E6" s="14" t="s">
        <v>802</v>
      </c>
      <c r="F6" s="14" t="s">
        <v>906</v>
      </c>
      <c r="G6" s="14" t="s">
        <v>907</v>
      </c>
    </row>
    <row r="7" spans="3:8" x14ac:dyDescent="0.25">
      <c r="C7" t="s">
        <v>891</v>
      </c>
      <c r="D7" s="40">
        <f>SUMIF(Tabela2[Aplicação],"Estrutura Metálica",Tabela2[Preço Total])</f>
        <v>1220849.67</v>
      </c>
      <c r="E7" s="41">
        <f t="shared" ref="E7:E20" si="0">D7/$D$2</f>
        <v>0.38206336446198724</v>
      </c>
      <c r="F7" s="41">
        <f>E7</f>
        <v>0.38206336446198724</v>
      </c>
      <c r="G7" s="14" t="s">
        <v>913</v>
      </c>
    </row>
    <row r="8" spans="3:8" x14ac:dyDescent="0.25">
      <c r="C8" t="s">
        <v>779</v>
      </c>
      <c r="D8" s="40">
        <f>SUMIF(Tabela2[Aplicação],"AVCB",Tabela2[Preço Total])</f>
        <v>0</v>
      </c>
      <c r="E8" s="41">
        <f t="shared" si="0"/>
        <v>0</v>
      </c>
      <c r="F8" s="41">
        <f t="shared" ref="F8:F20" si="1">F7+E8</f>
        <v>0.38206336446198724</v>
      </c>
      <c r="G8" s="14" t="s">
        <v>913</v>
      </c>
    </row>
    <row r="9" spans="3:8" x14ac:dyDescent="0.25">
      <c r="C9" t="s">
        <v>419</v>
      </c>
      <c r="D9" s="40">
        <f>SUMIF(Tabela2[Aplicação],"SPDA",Tabela2[Preço Total])</f>
        <v>0</v>
      </c>
      <c r="E9" s="41">
        <f t="shared" si="0"/>
        <v>0</v>
      </c>
      <c r="F9" s="41">
        <f t="shared" si="1"/>
        <v>0.38206336446198724</v>
      </c>
      <c r="G9" s="14" t="s">
        <v>913</v>
      </c>
    </row>
    <row r="10" spans="3:8" x14ac:dyDescent="0.25">
      <c r="C10" t="s">
        <v>635</v>
      </c>
      <c r="D10" s="40">
        <f>SUMIF(Tabela2[Aplicação],"Piso",Tabela2[Preço Total])</f>
        <v>361131.5538461539</v>
      </c>
      <c r="E10" s="41">
        <f t="shared" si="0"/>
        <v>0.11301566430848679</v>
      </c>
      <c r="F10" s="41">
        <f t="shared" si="1"/>
        <v>0.49507902877047405</v>
      </c>
      <c r="G10" s="14" t="s">
        <v>913</v>
      </c>
    </row>
    <row r="11" spans="3:8" x14ac:dyDescent="0.25">
      <c r="C11" t="s">
        <v>791</v>
      </c>
      <c r="D11" s="40">
        <f>SUMIF(Tabela2[Aplicação],"Telhado",Tabela2[Preço Total])</f>
        <v>216713.79700000002</v>
      </c>
      <c r="E11" s="41">
        <f t="shared" si="0"/>
        <v>6.782030944657759E-2</v>
      </c>
      <c r="F11" s="41">
        <f t="shared" si="1"/>
        <v>0.56289933821705163</v>
      </c>
      <c r="G11" s="14" t="s">
        <v>914</v>
      </c>
    </row>
    <row r="12" spans="3:8" x14ac:dyDescent="0.25">
      <c r="C12" t="s">
        <v>780</v>
      </c>
      <c r="D12" s="40">
        <f>SUMIF(Tabela2[Aplicação],"Terraplanagem",Tabela2[Preço Total])</f>
        <v>174417.38</v>
      </c>
      <c r="E12" s="41">
        <f t="shared" si="0"/>
        <v>5.4583699091670254E-2</v>
      </c>
      <c r="F12" s="41">
        <f t="shared" si="1"/>
        <v>0.61748303730872189</v>
      </c>
      <c r="G12" s="14" t="s">
        <v>914</v>
      </c>
    </row>
    <row r="13" spans="3:8" x14ac:dyDescent="0.25">
      <c r="C13" t="s">
        <v>771</v>
      </c>
      <c r="D13" s="40">
        <f>SUMIF(Tabela2[Aplicação],"Fundação",Tabela2[Preço Total])</f>
        <v>164340</v>
      </c>
      <c r="E13" s="41">
        <f t="shared" si="0"/>
        <v>5.1429995730500534E-2</v>
      </c>
      <c r="F13" s="41">
        <f t="shared" si="1"/>
        <v>0.66891303303922245</v>
      </c>
      <c r="G13" s="14" t="s">
        <v>915</v>
      </c>
    </row>
    <row r="14" spans="3:8" x14ac:dyDescent="0.25">
      <c r="C14" t="s">
        <v>774</v>
      </c>
      <c r="D14" s="40">
        <f>SUMIF(Tabela2[Aplicação],"Fechamento Lateral",Tabela2[Preço Total])</f>
        <v>79138.372999999992</v>
      </c>
      <c r="E14" s="41">
        <f t="shared" si="0"/>
        <v>2.4766254019160026E-2</v>
      </c>
      <c r="F14" s="41">
        <f t="shared" si="1"/>
        <v>0.69367928705838244</v>
      </c>
      <c r="G14" s="14" t="s">
        <v>915</v>
      </c>
    </row>
    <row r="15" spans="3:8" x14ac:dyDescent="0.25">
      <c r="C15" t="s">
        <v>868</v>
      </c>
      <c r="D15" s="40">
        <f>SUMIF(Tabela2[Aplicação],"Drenagem Pluvial",Tabela2[Preço Total])</f>
        <v>21626.68</v>
      </c>
      <c r="E15" s="41">
        <f t="shared" si="0"/>
        <v>6.7680422299190787E-3</v>
      </c>
      <c r="F15" s="41">
        <f t="shared" si="1"/>
        <v>0.70044732928830156</v>
      </c>
      <c r="G15" s="14" t="s">
        <v>915</v>
      </c>
    </row>
    <row r="16" spans="3:8" x14ac:dyDescent="0.25">
      <c r="C16" t="s">
        <v>806</v>
      </c>
      <c r="D16" s="40">
        <f>SUMIF(Tabela2[Aplicação],"Fechamento Frontal",Tabela2[Preço Total])</f>
        <v>18517.59</v>
      </c>
      <c r="E16" s="41">
        <f t="shared" si="0"/>
        <v>5.7950564356770073E-3</v>
      </c>
      <c r="F16" s="41">
        <f t="shared" si="1"/>
        <v>0.70624238572397857</v>
      </c>
      <c r="G16" s="14" t="s">
        <v>915</v>
      </c>
    </row>
    <row r="17" spans="3:7" x14ac:dyDescent="0.25">
      <c r="C17" t="s">
        <v>902</v>
      </c>
      <c r="D17" s="40">
        <f>SUMIF(Tabela2[Aplicação],"Iluminação Galpão",Tabela2[Preço Total])</f>
        <v>66919.5</v>
      </c>
      <c r="E17" s="41">
        <f t="shared" si="0"/>
        <v>2.0942373124541988E-2</v>
      </c>
      <c r="F17" s="41">
        <f t="shared" si="1"/>
        <v>0.72718475884852052</v>
      </c>
      <c r="G17" s="14" t="s">
        <v>915</v>
      </c>
    </row>
    <row r="18" spans="3:7" x14ac:dyDescent="0.25">
      <c r="C18" t="s">
        <v>576</v>
      </c>
      <c r="D18" s="40">
        <f>SUMIF(Tabela2[Aplicação],"Pintura",Tabela2[Preço Total])</f>
        <v>5300</v>
      </c>
      <c r="E18" s="41">
        <f t="shared" si="0"/>
        <v>1.6586283155144994E-3</v>
      </c>
      <c r="F18" s="41">
        <f t="shared" si="1"/>
        <v>0.72884338716403507</v>
      </c>
      <c r="G18" s="14" t="s">
        <v>915</v>
      </c>
    </row>
    <row r="19" spans="3:7" x14ac:dyDescent="0.25">
      <c r="C19" t="s">
        <v>815</v>
      </c>
      <c r="D19" s="40">
        <f>SUMIF(Tabela2[Aplicação],"Topografia",Tabela2[Preço Total])</f>
        <v>5000</v>
      </c>
      <c r="E19" s="41">
        <f t="shared" si="0"/>
        <v>1.5647436938816032E-3</v>
      </c>
      <c r="F19" s="41">
        <f t="shared" si="1"/>
        <v>0.73040813085791667</v>
      </c>
      <c r="G19" s="14" t="s">
        <v>915</v>
      </c>
    </row>
    <row r="20" spans="3:7" x14ac:dyDescent="0.25">
      <c r="C20" t="s">
        <v>798</v>
      </c>
      <c r="D20" s="40">
        <f>SUMIF(Tabela2[Aplicação],"Armazenamento",Tabela2[Preço Total])</f>
        <v>0</v>
      </c>
      <c r="E20" s="41">
        <f t="shared" si="0"/>
        <v>0</v>
      </c>
      <c r="F20" s="41">
        <f t="shared" si="1"/>
        <v>0.73040813085791667</v>
      </c>
      <c r="G20" s="14" t="s">
        <v>915</v>
      </c>
    </row>
    <row r="21" spans="3:7" x14ac:dyDescent="0.25">
      <c r="D21" s="40"/>
      <c r="E21" s="38"/>
      <c r="F21" s="38"/>
    </row>
    <row r="22" spans="3:7" x14ac:dyDescent="0.25">
      <c r="D22" s="40"/>
      <c r="E22" s="38"/>
      <c r="F22" s="38"/>
    </row>
    <row r="23" spans="3:7" x14ac:dyDescent="0.25">
      <c r="D23" s="40"/>
      <c r="E23" s="38"/>
      <c r="F23" s="38"/>
    </row>
    <row r="24" spans="3:7" x14ac:dyDescent="0.25">
      <c r="D24" s="40"/>
      <c r="E24" s="38"/>
      <c r="F24" s="38"/>
    </row>
    <row r="25" spans="3:7" x14ac:dyDescent="0.25">
      <c r="D25" s="40"/>
      <c r="E25" s="38"/>
      <c r="F25" s="38"/>
    </row>
    <row r="26" spans="3:7" x14ac:dyDescent="0.25">
      <c r="D26" s="40"/>
      <c r="E26" s="38"/>
      <c r="F26" s="38"/>
    </row>
    <row r="27" spans="3:7" x14ac:dyDescent="0.25">
      <c r="D27" s="40"/>
      <c r="E27" s="38"/>
      <c r="F27" s="38"/>
    </row>
    <row r="28" spans="3:7" x14ac:dyDescent="0.25">
      <c r="D28" s="40"/>
    </row>
  </sheetData>
  <autoFilter ref="C6:G6">
    <sortState ref="C7:G20">
      <sortCondition descending="1" ref="E6"/>
    </sortState>
  </autoFilter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EAP_Cronograma</vt:lpstr>
      <vt:lpstr>DPA IV</vt:lpstr>
      <vt:lpstr> ABC DPA IV</vt:lpstr>
      <vt:lpstr>Expansão DMP</vt:lpstr>
      <vt:lpstr>ABC DMP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Tiago Melo</cp:lastModifiedBy>
  <cp:lastPrinted>2026-09-23T12:16:23Z</cp:lastPrinted>
  <dcterms:created xsi:type="dcterms:W3CDTF">2026-09-17T11:57:48Z</dcterms:created>
  <dcterms:modified xsi:type="dcterms:W3CDTF">2026-10-22T17:39:53Z</dcterms:modified>
</cp:coreProperties>
</file>