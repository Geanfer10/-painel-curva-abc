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3" i="3" l="1"/>
  <c r="G45" i="3"/>
  <c r="G22" i="3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6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5" i="3"/>
  <c r="J15" i="3" s="1"/>
  <c r="O7" i="6" l="1"/>
  <c r="O21" i="6" s="1"/>
  <c r="P11" i="6" s="1"/>
  <c r="G16" i="3"/>
  <c r="G39" i="3"/>
  <c r="G40" i="3"/>
  <c r="G41" i="3"/>
  <c r="G42" i="3"/>
  <c r="G38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28" i="3"/>
  <c r="G9" i="3"/>
  <c r="Q6" i="6" l="1"/>
  <c r="H51" i="6"/>
  <c r="G27" i="3"/>
  <c r="G26" i="3"/>
  <c r="G25" i="3"/>
  <c r="G24" i="3"/>
  <c r="G8" i="3"/>
  <c r="G7" i="3"/>
  <c r="J12" i="3" s="1"/>
  <c r="G15" i="3"/>
  <c r="G14" i="3"/>
  <c r="G13" i="3"/>
  <c r="G12" i="3"/>
  <c r="G6" i="3"/>
  <c r="G5" i="3"/>
  <c r="D29" i="3"/>
  <c r="J13" i="3" l="1"/>
  <c r="J11" i="3"/>
  <c r="G10" i="3"/>
  <c r="G11" i="3"/>
  <c r="G4" i="3"/>
  <c r="J8" i="3" s="1"/>
  <c r="G37" i="3"/>
  <c r="J9" i="3" s="1"/>
  <c r="G44" i="3"/>
  <c r="J10" i="3" s="1"/>
  <c r="G23" i="3"/>
  <c r="G29" i="3"/>
  <c r="G30" i="3"/>
  <c r="G31" i="3"/>
  <c r="G32" i="3"/>
  <c r="G33" i="3"/>
  <c r="G18" i="3"/>
  <c r="G19" i="3"/>
  <c r="G34" i="3"/>
  <c r="J6" i="3" s="1"/>
  <c r="G21" i="3"/>
  <c r="G28" i="3"/>
  <c r="J7" i="3" l="1"/>
  <c r="J4" i="3"/>
  <c r="J5" i="3"/>
  <c r="G48" i="3"/>
</calcChain>
</file>

<file path=xl/sharedStrings.xml><?xml version="1.0" encoding="utf-8"?>
<sst xmlns="http://schemas.openxmlformats.org/spreadsheetml/2006/main" count="2113" uniqueCount="856">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</sst>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5" totalsRowShown="0" dataDxfId="7">
  <autoFilter ref="B3:H45"/>
  <sortState ref="B4:H46">
    <sortCondition ref="H3:H46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8"/>
  <sheetViews>
    <sheetView tabSelected="1" workbookViewId="0">
      <selection activeCell="D13" sqref="D13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824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785</v>
      </c>
      <c r="J4" s="40">
        <f>SUMIF(Tabela2[Aplicação],"Fundação",Tabela2[Preço Total])</f>
        <v>118280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0</v>
      </c>
    </row>
    <row r="7" spans="2:10" x14ac:dyDescent="0.25">
      <c r="B7" s="27">
        <v>4</v>
      </c>
      <c r="C7" s="25" t="s">
        <v>792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49" t="s">
        <v>793</v>
      </c>
      <c r="D8" s="50">
        <v>600</v>
      </c>
      <c r="E8" s="50" t="s">
        <v>761</v>
      </c>
      <c r="F8" s="51">
        <v>3.35</v>
      </c>
      <c r="G8" s="51">
        <f>F8*D8</f>
        <v>2010</v>
      </c>
      <c r="H8" s="50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796</v>
      </c>
      <c r="D9" s="24"/>
      <c r="E9" s="24"/>
      <c r="F9" s="26"/>
      <c r="G9" s="26">
        <f>F9*D9</f>
        <v>0</v>
      </c>
      <c r="H9" s="24" t="s">
        <v>799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803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801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2010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844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800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  <c r="J16" s="40"/>
    </row>
    <row r="17" spans="2:9" x14ac:dyDescent="0.25">
      <c r="B17" s="27">
        <v>14</v>
      </c>
      <c r="C17" s="31" t="s">
        <v>798</v>
      </c>
      <c r="D17" s="27">
        <v>1</v>
      </c>
      <c r="E17" s="27" t="s">
        <v>760</v>
      </c>
      <c r="F17" s="32">
        <v>4500</v>
      </c>
      <c r="G17" s="32">
        <f>F17*D17</f>
        <v>4500</v>
      </c>
      <c r="H17" s="27" t="s">
        <v>771</v>
      </c>
    </row>
    <row r="18" spans="2:9" x14ac:dyDescent="0.25">
      <c r="B18" s="27">
        <v>15</v>
      </c>
      <c r="C18" s="18" t="s">
        <v>769</v>
      </c>
      <c r="D18" s="17">
        <v>2100</v>
      </c>
      <c r="E18" s="17" t="s">
        <v>842</v>
      </c>
      <c r="F18" s="20"/>
      <c r="G18" s="20">
        <f>F18*D18</f>
        <v>0</v>
      </c>
      <c r="H18" s="17" t="s">
        <v>771</v>
      </c>
    </row>
    <row r="19" spans="2:9" x14ac:dyDescent="0.25">
      <c r="B19" s="27">
        <v>16</v>
      </c>
      <c r="C19" s="18" t="s">
        <v>770</v>
      </c>
      <c r="D19" s="17">
        <v>2300</v>
      </c>
      <c r="E19" s="17" t="s">
        <v>842</v>
      </c>
      <c r="F19" s="20"/>
      <c r="G19" s="20">
        <f>F19*D19</f>
        <v>0</v>
      </c>
      <c r="H19" s="17" t="s">
        <v>771</v>
      </c>
      <c r="I19" s="14" t="s">
        <v>843</v>
      </c>
    </row>
    <row r="20" spans="2:9" x14ac:dyDescent="0.25">
      <c r="B20" s="27">
        <v>17</v>
      </c>
      <c r="C20" s="31" t="s">
        <v>839</v>
      </c>
      <c r="D20" s="27">
        <v>1</v>
      </c>
      <c r="E20" s="27" t="s">
        <v>760</v>
      </c>
      <c r="F20" s="32">
        <v>51500</v>
      </c>
      <c r="G20" s="32">
        <f>F20*D20</f>
        <v>51500</v>
      </c>
      <c r="H20" s="27" t="s">
        <v>771</v>
      </c>
      <c r="I20" s="14" t="s">
        <v>843</v>
      </c>
    </row>
    <row r="21" spans="2:9" x14ac:dyDescent="0.25">
      <c r="B21" s="27">
        <v>19</v>
      </c>
      <c r="C21" s="31" t="s">
        <v>840</v>
      </c>
      <c r="D21" s="33">
        <v>46.8</v>
      </c>
      <c r="E21" s="27" t="s">
        <v>759</v>
      </c>
      <c r="F21" s="32">
        <v>670</v>
      </c>
      <c r="G21" s="32">
        <f>F21*D21</f>
        <v>31355.999999999996</v>
      </c>
      <c r="H21" s="27" t="s">
        <v>771</v>
      </c>
    </row>
    <row r="22" spans="2:9" x14ac:dyDescent="0.25">
      <c r="B22" s="27">
        <v>20</v>
      </c>
      <c r="C22" s="31" t="s">
        <v>841</v>
      </c>
      <c r="D22" s="33">
        <v>37.200000000000003</v>
      </c>
      <c r="E22" s="27" t="s">
        <v>759</v>
      </c>
      <c r="F22" s="32">
        <v>670</v>
      </c>
      <c r="G22" s="32">
        <f>F22*D22</f>
        <v>24924.000000000004</v>
      </c>
      <c r="H22" s="27" t="s">
        <v>771</v>
      </c>
    </row>
    <row r="23" spans="2:9" x14ac:dyDescent="0.25">
      <c r="B23" s="27">
        <v>22</v>
      </c>
      <c r="C23" s="21" t="s">
        <v>779</v>
      </c>
      <c r="D23" s="22"/>
      <c r="E23" s="22"/>
      <c r="F23" s="19"/>
      <c r="G23" s="19">
        <f>F23*D23</f>
        <v>0</v>
      </c>
      <c r="H23" s="22" t="s">
        <v>771</v>
      </c>
    </row>
    <row r="24" spans="2:9" x14ac:dyDescent="0.25">
      <c r="B24" s="27">
        <v>23</v>
      </c>
      <c r="C24" s="25" t="s">
        <v>788</v>
      </c>
      <c r="D24" s="24"/>
      <c r="E24" s="24"/>
      <c r="F24" s="26"/>
      <c r="G24" s="26">
        <f>F24*D24</f>
        <v>0</v>
      </c>
      <c r="H24" s="24" t="s">
        <v>576</v>
      </c>
    </row>
    <row r="25" spans="2:9" x14ac:dyDescent="0.25">
      <c r="B25" s="27">
        <v>24</v>
      </c>
      <c r="C25" s="25" t="s">
        <v>789</v>
      </c>
      <c r="D25" s="24"/>
      <c r="E25" s="24"/>
      <c r="F25" s="26"/>
      <c r="G25" s="26">
        <f>F25*D25</f>
        <v>0</v>
      </c>
      <c r="H25" s="24" t="s">
        <v>576</v>
      </c>
    </row>
    <row r="26" spans="2:9" x14ac:dyDescent="0.25">
      <c r="B26" s="27">
        <v>25</v>
      </c>
      <c r="C26" s="25" t="s">
        <v>790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26</v>
      </c>
      <c r="C27" s="25" t="s">
        <v>791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27</v>
      </c>
      <c r="C28" s="31" t="s">
        <v>757</v>
      </c>
      <c r="D28" s="27">
        <f>(2000*1.05)*0.15</f>
        <v>315</v>
      </c>
      <c r="E28" s="27" t="s">
        <v>759</v>
      </c>
      <c r="F28" s="32">
        <v>670</v>
      </c>
      <c r="G28" s="32">
        <f>F28*D28</f>
        <v>211050</v>
      </c>
      <c r="H28" s="27" t="s">
        <v>635</v>
      </c>
    </row>
    <row r="29" spans="2:9" x14ac:dyDescent="0.25">
      <c r="B29" s="27">
        <v>28</v>
      </c>
      <c r="C29" s="31" t="s">
        <v>777</v>
      </c>
      <c r="D29" s="33">
        <f>2000/13*2</f>
        <v>307.69230769230768</v>
      </c>
      <c r="E29" s="27" t="s">
        <v>760</v>
      </c>
      <c r="F29" s="32">
        <v>220.5</v>
      </c>
      <c r="G29" s="32">
        <f>F29*D29</f>
        <v>67846.153846153844</v>
      </c>
      <c r="H29" s="27" t="s">
        <v>635</v>
      </c>
    </row>
    <row r="30" spans="2:9" x14ac:dyDescent="0.25">
      <c r="B30" s="27">
        <v>29</v>
      </c>
      <c r="C30" s="31" t="s">
        <v>758</v>
      </c>
      <c r="D30" s="27">
        <v>167</v>
      </c>
      <c r="E30" s="27" t="s">
        <v>814</v>
      </c>
      <c r="F30" s="32">
        <v>56.2</v>
      </c>
      <c r="G30" s="32">
        <f>F30*D30</f>
        <v>9385.4</v>
      </c>
      <c r="H30" s="27" t="s">
        <v>635</v>
      </c>
    </row>
    <row r="31" spans="2:9" x14ac:dyDescent="0.25">
      <c r="B31" s="27">
        <v>30</v>
      </c>
      <c r="C31" s="31" t="s">
        <v>762</v>
      </c>
      <c r="D31" s="27">
        <v>1000</v>
      </c>
      <c r="E31" s="27" t="s">
        <v>763</v>
      </c>
      <c r="F31" s="32">
        <v>7.3</v>
      </c>
      <c r="G31" s="32">
        <f>F31*D31</f>
        <v>7300</v>
      </c>
      <c r="H31" s="27" t="s">
        <v>635</v>
      </c>
    </row>
    <row r="32" spans="2:9" x14ac:dyDescent="0.25">
      <c r="B32" s="27">
        <v>31</v>
      </c>
      <c r="C32" s="31" t="s">
        <v>804</v>
      </c>
      <c r="D32" s="27">
        <v>315</v>
      </c>
      <c r="E32" s="27" t="s">
        <v>759</v>
      </c>
      <c r="F32" s="32">
        <v>50</v>
      </c>
      <c r="G32" s="32">
        <f>F32*D32</f>
        <v>15750</v>
      </c>
      <c r="H32" s="27" t="s">
        <v>635</v>
      </c>
    </row>
    <row r="33" spans="2:8" x14ac:dyDescent="0.25">
      <c r="B33" s="27">
        <v>32</v>
      </c>
      <c r="C33" s="31" t="s">
        <v>768</v>
      </c>
      <c r="D33" s="27">
        <v>1</v>
      </c>
      <c r="E33" s="27" t="s">
        <v>760</v>
      </c>
      <c r="F33" s="32">
        <v>49800</v>
      </c>
      <c r="G33" s="32">
        <f>F33*D33</f>
        <v>49800</v>
      </c>
      <c r="H33" s="27" t="s">
        <v>635</v>
      </c>
    </row>
    <row r="34" spans="2:8" x14ac:dyDescent="0.25">
      <c r="B34" s="27">
        <v>33</v>
      </c>
      <c r="C34" s="31" t="s">
        <v>848</v>
      </c>
      <c r="D34" s="27">
        <v>1</v>
      </c>
      <c r="E34" s="27" t="s">
        <v>760</v>
      </c>
      <c r="F34" s="32">
        <v>1056959.67</v>
      </c>
      <c r="G34" s="32">
        <f>F34*D34</f>
        <v>1056959.67</v>
      </c>
      <c r="H34" s="27" t="s">
        <v>847</v>
      </c>
    </row>
    <row r="35" spans="2:8" x14ac:dyDescent="0.25">
      <c r="B35" s="27">
        <v>34</v>
      </c>
      <c r="C35" s="25" t="s">
        <v>806</v>
      </c>
      <c r="D35" s="24">
        <v>1</v>
      </c>
      <c r="E35" s="24" t="s">
        <v>760</v>
      </c>
      <c r="F35" s="26"/>
      <c r="G35" s="26">
        <f>F35*D35</f>
        <v>0</v>
      </c>
      <c r="H35" s="24" t="s">
        <v>807</v>
      </c>
    </row>
    <row r="36" spans="2:8" x14ac:dyDescent="0.25">
      <c r="B36" s="27">
        <v>35</v>
      </c>
      <c r="C36" s="25" t="s">
        <v>819</v>
      </c>
      <c r="D36" s="24">
        <v>1</v>
      </c>
      <c r="E36" s="24" t="s">
        <v>760</v>
      </c>
      <c r="F36" s="26"/>
      <c r="G36" s="26">
        <f>F36*D36</f>
        <v>0</v>
      </c>
      <c r="H36" s="24" t="s">
        <v>807</v>
      </c>
    </row>
    <row r="37" spans="2:8" x14ac:dyDescent="0.25">
      <c r="B37" s="27">
        <v>36</v>
      </c>
      <c r="C37" s="21" t="s">
        <v>794</v>
      </c>
      <c r="D37" s="22"/>
      <c r="E37" s="22"/>
      <c r="F37" s="19"/>
      <c r="G37" s="19">
        <f>F37*D37</f>
        <v>0</v>
      </c>
      <c r="H37" s="22" t="s">
        <v>419</v>
      </c>
    </row>
    <row r="38" spans="2:8" x14ac:dyDescent="0.25">
      <c r="B38" s="27">
        <v>37</v>
      </c>
      <c r="C38" s="48" t="s">
        <v>849</v>
      </c>
      <c r="D38" s="27">
        <v>1455.89</v>
      </c>
      <c r="E38" s="27" t="s">
        <v>761</v>
      </c>
      <c r="F38" s="36">
        <v>95.9</v>
      </c>
      <c r="G38" s="36">
        <f>Tabela2[[#This Row],[Preço Unitário]]*Tabela2[[#This Row],[Quantidade]]</f>
        <v>139619.85100000002</v>
      </c>
      <c r="H38" s="27" t="s">
        <v>802</v>
      </c>
    </row>
    <row r="39" spans="2:8" x14ac:dyDescent="0.25">
      <c r="B39" s="27">
        <v>38</v>
      </c>
      <c r="C39" s="31" t="s">
        <v>850</v>
      </c>
      <c r="D39" s="27">
        <v>706.94</v>
      </c>
      <c r="E39" s="27" t="s">
        <v>761</v>
      </c>
      <c r="F39" s="36">
        <v>95.9</v>
      </c>
      <c r="G39" s="36">
        <f>Tabela2[[#This Row],[Preço Unitário]]*Tabela2[[#This Row],[Quantidade]]</f>
        <v>67795.546000000002</v>
      </c>
      <c r="H39" s="27" t="s">
        <v>802</v>
      </c>
    </row>
    <row r="40" spans="2:8" x14ac:dyDescent="0.25">
      <c r="B40" s="27">
        <v>39</v>
      </c>
      <c r="C40" t="s">
        <v>851</v>
      </c>
      <c r="D40" s="27">
        <v>44</v>
      </c>
      <c r="E40" s="27" t="s">
        <v>855</v>
      </c>
      <c r="F40" s="36">
        <v>95</v>
      </c>
      <c r="G40" s="36">
        <f>Tabela2[[#This Row],[Preço Unitário]]*Tabela2[[#This Row],[Quantidade]]</f>
        <v>4180</v>
      </c>
      <c r="H40" s="27" t="s">
        <v>802</v>
      </c>
    </row>
    <row r="41" spans="2:8" x14ac:dyDescent="0.25">
      <c r="B41" s="27">
        <v>40</v>
      </c>
      <c r="C41" t="s">
        <v>852</v>
      </c>
      <c r="D41" s="27">
        <v>3</v>
      </c>
      <c r="E41" s="27" t="s">
        <v>855</v>
      </c>
      <c r="F41" s="36">
        <v>35</v>
      </c>
      <c r="G41" s="36">
        <f>Tabela2[[#This Row],[Preço Unitário]]*Tabela2[[#This Row],[Quantidade]]</f>
        <v>105</v>
      </c>
      <c r="H41" s="27" t="s">
        <v>802</v>
      </c>
    </row>
    <row r="42" spans="2:8" x14ac:dyDescent="0.25">
      <c r="B42" s="27">
        <v>41</v>
      </c>
      <c r="C42" t="s">
        <v>853</v>
      </c>
      <c r="D42" s="27">
        <v>126</v>
      </c>
      <c r="E42" s="27" t="s">
        <v>760</v>
      </c>
      <c r="F42" s="36">
        <v>25.9</v>
      </c>
      <c r="G42" s="36">
        <f>Tabela2[[#This Row],[Preço Unitário]]*Tabela2[[#This Row],[Quantidade]]</f>
        <v>3263.3999999999996</v>
      </c>
      <c r="H42" s="27" t="s">
        <v>802</v>
      </c>
    </row>
    <row r="43" spans="2:8" x14ac:dyDescent="0.25">
      <c r="B43" s="27"/>
      <c r="C43" t="s">
        <v>854</v>
      </c>
      <c r="D43" s="27">
        <v>1</v>
      </c>
      <c r="E43" s="27" t="s">
        <v>760</v>
      </c>
      <c r="F43" s="36">
        <v>1750</v>
      </c>
      <c r="G43" s="36">
        <f>F43*D43</f>
        <v>1750</v>
      </c>
      <c r="H43" s="27" t="s">
        <v>802</v>
      </c>
    </row>
    <row r="44" spans="2:8" x14ac:dyDescent="0.25">
      <c r="B44" s="27">
        <v>42</v>
      </c>
      <c r="C44" s="31" t="s">
        <v>787</v>
      </c>
      <c r="D44" s="27">
        <v>1</v>
      </c>
      <c r="E44" s="27" t="s">
        <v>760</v>
      </c>
      <c r="F44" s="36">
        <v>157963.5</v>
      </c>
      <c r="G44" s="36">
        <f>F44*D44</f>
        <v>157963.5</v>
      </c>
      <c r="H44" s="27" t="s">
        <v>786</v>
      </c>
    </row>
    <row r="45" spans="2:8" x14ac:dyDescent="0.25">
      <c r="B45" s="27"/>
      <c r="C45" s="25" t="s">
        <v>845</v>
      </c>
      <c r="D45" s="24"/>
      <c r="E45" s="24"/>
      <c r="F45" s="26"/>
      <c r="G45" s="26">
        <f>F45*D45</f>
        <v>0</v>
      </c>
      <c r="H45" s="24" t="s">
        <v>846</v>
      </c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G48" s="16">
        <f>SUM(Tabela2[Preço Total])</f>
        <v>1913058.5208461538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topLeftCell="A7" workbookViewId="0">
      <selection activeCell="I23" sqref="B23:I23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830</v>
      </c>
    </row>
    <row r="2" spans="2:18" x14ac:dyDescent="0.25">
      <c r="P2" s="14" t="s">
        <v>831</v>
      </c>
    </row>
    <row r="3" spans="2:18" s="14" customFormat="1" x14ac:dyDescent="0.25">
      <c r="B3" s="14" t="s">
        <v>753</v>
      </c>
      <c r="C3" s="14" t="s">
        <v>809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832</v>
      </c>
    </row>
    <row r="4" spans="2:18" x14ac:dyDescent="0.25">
      <c r="B4" s="17">
        <v>1</v>
      </c>
      <c r="C4" s="17" t="s">
        <v>810</v>
      </c>
      <c r="D4" s="25" t="s">
        <v>796</v>
      </c>
      <c r="E4" s="24"/>
      <c r="F4" s="24"/>
      <c r="G4" s="26"/>
      <c r="H4" s="26">
        <f t="shared" ref="H4:H48" si="0">G4*E4</f>
        <v>0</v>
      </c>
      <c r="I4" s="24" t="s">
        <v>818</v>
      </c>
      <c r="O4" s="14" t="s">
        <v>824</v>
      </c>
      <c r="P4" s="14" t="s">
        <v>826</v>
      </c>
      <c r="Q4" s="14" t="s">
        <v>827</v>
      </c>
      <c r="R4" s="14" t="s">
        <v>828</v>
      </c>
    </row>
    <row r="5" spans="2:18" x14ac:dyDescent="0.25">
      <c r="B5" s="17">
        <v>2</v>
      </c>
      <c r="C5" s="17" t="s">
        <v>810</v>
      </c>
      <c r="D5" s="21" t="s">
        <v>778</v>
      </c>
      <c r="E5" s="22"/>
      <c r="F5" s="22"/>
      <c r="G5" s="19"/>
      <c r="H5" s="19">
        <f t="shared" si="0"/>
        <v>0</v>
      </c>
      <c r="I5" s="22" t="s">
        <v>785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829</v>
      </c>
    </row>
    <row r="6" spans="2:18" x14ac:dyDescent="0.25">
      <c r="B6" s="17">
        <v>3</v>
      </c>
      <c r="C6" s="17" t="s">
        <v>810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786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829</v>
      </c>
    </row>
    <row r="7" spans="2:18" x14ac:dyDescent="0.25">
      <c r="B7" s="17">
        <v>4</v>
      </c>
      <c r="C7" s="17" t="s">
        <v>810</v>
      </c>
      <c r="D7" s="21" t="s">
        <v>838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810</v>
      </c>
      <c r="D8" s="25" t="s">
        <v>792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815</v>
      </c>
      <c r="N8" s="45" t="s">
        <v>807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810</v>
      </c>
      <c r="D9" s="25" t="s">
        <v>793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813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810</v>
      </c>
      <c r="D10" s="25" t="s">
        <v>817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810</v>
      </c>
      <c r="D11" s="21" t="s">
        <v>835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836</v>
      </c>
      <c r="N11" s="41" t="s">
        <v>785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810</v>
      </c>
      <c r="D12" s="21" t="s">
        <v>837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836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810</v>
      </c>
      <c r="D13" s="21" t="s">
        <v>834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836</v>
      </c>
      <c r="N13" s="41"/>
      <c r="O13" s="40"/>
      <c r="P13" s="44"/>
    </row>
    <row r="14" spans="2:18" x14ac:dyDescent="0.25">
      <c r="B14" s="17">
        <v>11</v>
      </c>
      <c r="C14" s="17" t="s">
        <v>810</v>
      </c>
      <c r="D14" s="21" t="s">
        <v>835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810</v>
      </c>
      <c r="D15" s="21" t="s">
        <v>834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810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810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818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810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810</v>
      </c>
      <c r="D19" s="25" t="s">
        <v>822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810</v>
      </c>
      <c r="D20" s="18" t="s">
        <v>797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810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825</v>
      </c>
      <c r="O21" s="43">
        <f>SUM(O5:O17)</f>
        <v>2927819.11</v>
      </c>
    </row>
    <row r="22" spans="2:16" x14ac:dyDescent="0.25">
      <c r="B22" s="17">
        <v>19</v>
      </c>
      <c r="C22" s="17" t="s">
        <v>810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810</v>
      </c>
      <c r="D23" s="18" t="s">
        <v>833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810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810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810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810</v>
      </c>
      <c r="D27" s="25" t="s">
        <v>788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810</v>
      </c>
      <c r="D28" s="25" t="s">
        <v>789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810</v>
      </c>
      <c r="D29" s="25" t="s">
        <v>790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810</v>
      </c>
      <c r="D30" s="25" t="s">
        <v>791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810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810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810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810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810</v>
      </c>
      <c r="D35" s="18" t="s">
        <v>816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810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811</v>
      </c>
      <c r="D37" s="25" t="s">
        <v>821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811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811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811</v>
      </c>
      <c r="D40" s="25" t="s">
        <v>820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810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810</v>
      </c>
      <c r="D42" s="21" t="s">
        <v>795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811</v>
      </c>
      <c r="D43" s="25" t="s">
        <v>805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807</v>
      </c>
    </row>
    <row r="44" spans="2:9" x14ac:dyDescent="0.25">
      <c r="B44" s="17">
        <v>41</v>
      </c>
      <c r="C44" s="17" t="s">
        <v>811</v>
      </c>
      <c r="D44" s="25" t="s">
        <v>808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807</v>
      </c>
    </row>
    <row r="45" spans="2:9" x14ac:dyDescent="0.25">
      <c r="B45" s="17">
        <v>42</v>
      </c>
      <c r="C45" s="17" t="s">
        <v>811</v>
      </c>
      <c r="D45" s="25" t="s">
        <v>823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807</v>
      </c>
    </row>
    <row r="46" spans="2:9" x14ac:dyDescent="0.25">
      <c r="B46" s="17">
        <v>43</v>
      </c>
      <c r="C46" s="17" t="s">
        <v>811</v>
      </c>
      <c r="D46" s="25" t="s">
        <v>812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807</v>
      </c>
    </row>
    <row r="47" spans="2:9" x14ac:dyDescent="0.25">
      <c r="B47" s="17">
        <v>44</v>
      </c>
      <c r="C47" s="17" t="s">
        <v>810</v>
      </c>
      <c r="D47" s="21" t="s">
        <v>794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810</v>
      </c>
      <c r="D48" s="21" t="s">
        <v>787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786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2026-10-09T12:16:29Z</dcterms:modified>
</cp:coreProperties>
</file>