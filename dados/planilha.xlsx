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<sst xmlns="http://schemas.openxmlformats.org/spreadsheetml/2006/main" count="2158" uniqueCount="873">
  <si>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</si>
  <si>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</si>
  <si>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</si>
  <si>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</si>
  <si>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</si>
  <si>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</si>
  <si>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</si>
  <si>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</si>
  <si>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</si>
  <si>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</si>
  <si>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</si>
  <si>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</si>
  <si>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</si>
  <si>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</si>
  <si>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</si>
  <si>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</si>
  <si>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</si>
  <si>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</si>
  <si>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</si>
  <si>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</si>
  <si>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</si>
  <si>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</si>
  <si>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</si>
  <si>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</si>
  <si>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</si>
  <si>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</si>
  <si>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</si>
  <si>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</si>
  <si>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</si>
  <si>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</si>
  <si>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</si>
  <si>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</si>
  <si>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</si>
  <si>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</si>
  <si>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</si>
  <si>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</si>
  <si>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</si>
  <si>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</si>
  <si>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</si>
  <si>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</si>
  <si>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</si>
  <si>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</si>
  <si>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</si>
  <si>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</si>
  <si>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</si>
  <si>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</si>
  <si>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</si>
  <si>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</si>
  <si>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</si>
  <si>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</si>
  <si>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</si>
  <si>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</si>
  <si>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</si>
  <si>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</si>
  <si>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</si>
  <si>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</si>
  <si>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</si>
  <si>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</si>
  <si>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</si>
  <si>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</si>
  <si>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</si>
  <si>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</si>
  <si>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</si>
  <si>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</si>
  <si>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</si>
  <si>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</si>
  <si>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</si>
  <si>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</si>
  <si>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</si>
  <si>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</si>
  <si>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</si>
  <si>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</si>
  <si>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</si>
  <si>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</si>
  <si>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</si>
  <si>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</si>
  <si>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</si>
  <si>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</si>
  <si>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</si>
  <si>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</si>
  <si>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</si>
  <si>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</si>
  <si>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</si>
  <si>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</si>
  <si>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</si>
  <si>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</si>
  <si>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</si>
  <si>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</si>
  <si>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</si>
  <si>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</si>
  <si>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</si>
  <si>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</si>
  <si>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</si>
  <si>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</si>
  <si>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</si>
  <si>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</si>
  <si>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</si>
  <si>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</si>
  <si>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</si>
  <si>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</si>
  <si>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</si>
  <si>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</si>
  <si>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</si>
  <si>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</si>
  <si>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</si>
  <si>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</si>
  <si>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</si>
  <si>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</si>
  <si>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</si>
  <si>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</si>
  <si>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</si>
  <si>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</si>
  <si>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</si>
  <si>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</si>
  <si>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</si>
  <si>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</si>
  <si>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</si>
  <si>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</si>
  <si>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</si>
  <si>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</si>
  <si>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</si>
  <si>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</si>
  <si>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</si>
  <si>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</si>
  <si>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</si>
  <si>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</si>
  <si>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</si>
  <si>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</si>
  <si>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</si>
  <si>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</si>
  <si>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</si>
  <si>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</si>
  <si>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</si>
  <si>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</si>
  <si>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</si>
  <si>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</si>
  <si>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</si>
  <si>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</si>
  <si>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</si>
  <si>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</si>
  <si>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</si>
  <si>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</si>
  <si>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</si>
  <si>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</si>
  <si>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</si>
  <si>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</si>
  <si>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</si>
  <si>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</si>
  <si>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</si>
  <si>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</si>
  <si>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</si>
  <si>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</si>
  <si>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</si>
  <si>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</si>
  <si>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</si>
  <si>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</si>
  <si>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</si>
  <si>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</si>
  <si>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</si>
  <si>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</si>
  <si>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</si>
  <si>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</si>
  <si>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</si>
  <si>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</si>
  <si>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</si>
  <si>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</si>
  <si>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</si>
  <si>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</si>
  <si>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</si>
  <si>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</si>
  <si>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</si>
  <si>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</si>
  <si>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</si>
  <si>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</si>
  <si>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</si>
  <si>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</si>
  <si>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</si>
  <si>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</si>
  <si>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</si>
  <si>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</si>
  <si>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</si>
  <si>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</si>
  <si>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</si>
  <si>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</si>
  <si>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</si>
  <si>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</si>
  <si>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</si>
  <si>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</si>
  <si>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</si>
  <si>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</si>
  <si>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</si>
  <si>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</si>
  <si>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</si>
  <si>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</si>
  <si>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</si>
  <si>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</si>
  <si>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</si>
  <si>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</si>
  <si>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</si>
  <si>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</si>
  <si>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</si>
  <si>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</si>
  <si>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</si>
  <si>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</si>
  <si>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</si>
  <si>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</si>
  <si>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</si>
  <si>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</si>
  <si>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</si>
  <si>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</si>
  <si>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</si>
  <si>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</si>
  <si>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</si>
  <si>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</si>
  <si>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</si>
  <si>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</si>
  <si>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</si>
  <si>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</si>
  <si>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</si>
  <si>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</si>
  <si>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</si>
  <si>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</si>
  <si>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</si>
  <si>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</si>
  <si>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</si>
  <si>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</si>
  <si>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</si>
  <si>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</si>
  <si>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</si>
  <si>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</si>
  <si>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</si>
  <si>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</si>
  <si>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</si>
  <si>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</si>
  <si>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</si>
  <si>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</si>
  <si>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</si>
  <si>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</si>
  <si>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</si>
  <si>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</si>
  <si>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</si>
  <si>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</si>
  <si>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</si>
  <si>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</si>
  <si>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</si>
  <si>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</si>
  <si>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</si>
  <si>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</si>
  <si>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</si>
  <si>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</si>
  <si>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</si>
  <si>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</si>
  <si>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</si>
  <si>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</si>
  <si>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</si>
  <si>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</si>
  <si>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</si>
  <si>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</si>
  <si>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</si>
  <si>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</si>
  <si>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</si>
  <si>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</si>
  <si>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</si>
  <si>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</si>
  <si>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</si>
  <si>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</si>
  <si>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</si>
  <si>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</si>
  <si>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</si>
  <si>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</si>
  <si>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</si>
  <si>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</si>
  <si>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</si>
  <si>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</si>
  <si>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</si>
  <si>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</si>
  <si>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</si>
  <si>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</si>
  <si>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</si>
  <si>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</si>
  <si>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</si>
  <si>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</si>
  <si>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</si>
  <si>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</si>
  <si>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</si>
  <si>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</si>
  <si>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</si>
  <si>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</si>
  <si>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</si>
  <si>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</si>
  <si>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</si>
  <si>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</si>
  <si>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</si>
  <si>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</si>
  <si>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</si>
  <si>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</si>
  <si>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</si>
  <si>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</si>
  <si>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</si>
  <si>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</si>
  <si>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</si>
  <si>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</si>
  <si>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</si>
  <si>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</si>
  <si>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</si>
  <si>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</si>
  <si>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</si>
  <si>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</si>
  <si>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</si>
  <si>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</si>
  <si>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</si>
  <si>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</si>
  <si>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</si>
  <si>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</si>
  <si>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</si>
  <si>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</si>
  <si>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</si>
  <si>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</si>
  <si>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</si>
  <si>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</si>
  <si>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</si>
  <si>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</si>
  <si>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</si>
  <si>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</si>
  <si>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</si>
  <si>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</si>
  <si>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</si>
  <si>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</si>
  <si>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</si>
  <si>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</si>
  <si>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</si>
  <si>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</si>
  <si>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</si>
  <si>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</si>
  <si>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</si>
  <si>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</si>
  <si>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</si>
  <si>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</si>
  <si>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</si>
  <si>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</si>
  <si>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</si>
  <si>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</si>
  <si>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</si>
  <si>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</si>
  <si>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</si>
  <si>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</si>
  <si>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</si>
  <si>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</si>
  <si>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</si>
  <si>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</si>
  <si>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</si>
  <si>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</si>
  <si>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</si>
  <si>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</si>
  <si>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</si>
  <si>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</si>
  <si>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</si>
  <si>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</si>
  <si>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</si>
  <si>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</si>
  <si>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</si>
  <si>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</si>
  <si>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</si>
  <si>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</si>
  <si>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</si>
  <si>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</si>
  <si>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</si>
  <si>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</si>
  <si>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</si>
  <si>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</si>
  <si>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</si>
  <si>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</si>
  <si>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</si>
  <si>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</si>
  <si>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</si>
  <si>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</si>
  <si>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</si>
  <si>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</si>
  <si>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</si>
  <si>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</si>
  <si>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</si>
  <si>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</si>
  <si>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</si>
  <si>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</si>
  <si>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</si>
  <si>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</si>
  <si>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</si>
  <si>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</si>
  <si>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</si>
  <si>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</si>
  <si>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</si>
  <si>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</si>
  <si>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</si>
  <si>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</si>
  <si>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</si>
  <si>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</si>
  <si>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</si>
  <si>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</si>
  <si>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</si>
  <si>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</si>
  <si>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</si>
  <si>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</si>
  <si>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</si>
  <si>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</si>
  <si>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</si>
  <si>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</si>
  <si>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</si>
  <si>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</si>
  <si>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</si>
  <si>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</si>
  <si>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</si>
  <si>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</si>
  <si>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</si>
  <si>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</si>
  <si>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</si>
  <si>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</si>
  <si>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</si>
  <si>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</si>
  <si>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</si>
  <si>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</si>
  <si>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</si>
  <si>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</si>
  <si>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</si>
  <si>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</si>
  <si>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</si>
  <si>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</si>
  <si>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</si>
  <si>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</si>
  <si>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</si>
  <si>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</si>
  <si>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</si>
  <si>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</si>
  <si>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</si>
  <si>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</si>
  <si>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</si>
  <si>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</si>
  <si>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</si>
  <si>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</si>
  <si>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</si>
  <si>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</si>
  <si>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</si>
  <si>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</si>
  <si>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</si>
  <si>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</si>
  <si>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</si>
  <si>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</si>
  <si>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</si>
  <si>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</si>
  <si>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</si>
  <si>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</si>
  <si>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</si>
  <si>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</si>
  <si>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</si>
  <si>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</si>
  <si>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</si>
  <si>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</si>
  <si>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</si>
  <si>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</si>
  <si>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</si>
  <si>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</si>
  <si>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</si>
  <si>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</si>
  <si>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</si>
  <si>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</si>
  <si>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</si>
  <si>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</si>
  <si>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</si>
  <si>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</si>
  <si>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</si>
  <si>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</si>
  <si>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</si>
  <si>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</si>
  <si>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</si>
  <si>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</si>
  <si>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</si>
  <si>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</si>
  <si>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</si>
  <si>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</si>
  <si>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</si>
  <si>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</si>
  <si>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</si>
  <si>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</si>
  <si>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</si>
  <si>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</si>
  <si>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</si>
  <si>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</si>
  <si>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</si>
  <si>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</si>
  <si>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</si>
  <si>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</si>
  <si>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</si>
  <si>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</si>
  <si>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</si>
  <si>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</si>
  <si>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</si>
  <si>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</si>
  <si>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</si>
  <si>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</si>
  <si>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</si>
  <si>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</si>
  <si>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</si>
  <si>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</si>
  <si>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</si>
  <si>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</si>
  <si>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</si>
  <si>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</si>
  <si>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</si>
  <si>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</si>
  <si>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</si>
  <si>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</si>
  <si>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</si>
  <si>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</si>
  <si>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</si>
  <si>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</si>
  <si>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</si>
  <si>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</si>
  <si>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</si>
  <si>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</si>
  <si>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</si>
  <si>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</si>
  <si>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</si>
  <si>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</si>
  <si>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</si>
  <si>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</si>
  <si>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</si>
  <si>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</si>
  <si>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</si>
  <si>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</si>
  <si>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</si>
  <si>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</si>
  <si>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</si>
  <si>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</si>
  <si>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</si>
  <si>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</si>
  <si>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</si>
  <si>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</si>
  <si>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</si>
  <si>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</si>
  <si>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</si>
  <si>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</si>
  <si>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</si>
  <si>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</si>
  <si>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</si>
  <si>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</si>
  <si>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</si>
  <si>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</si>
  <si>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</si>
  <si>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</si>
  <si>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</si>
  <si>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</si>
  <si>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</si>
  <si>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</si>
  <si>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</si>
  <si>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</si>
  <si>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</si>
  <si>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</si>
  <si>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</si>
  <si>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</si>
  <si>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</si>
  <si>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</si>
  <si>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</si>
  <si>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</si>
  <si>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</si>
  <si>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</si>
  <si>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</si>
  <si>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</si>
  <si>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</si>
  <si>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</si>
  <si>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</si>
  <si>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</si>
  <si>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</si>
  <si>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</si>
  <si>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</si>
  <si>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</si>
  <si>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</si>
  <si>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</si>
  <si>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</si>
  <si>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</si>
  <si>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</si>
  <si>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</si>
  <si>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</si>
  <si>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</si>
  <si>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</si>
  <si>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</si>
  <si>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</si>
  <si>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</si>
  <si>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</si>
  <si>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</si>
  <si>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</si>
  <si>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</si>
  <si>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</si>
  <si>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</si>
  <si>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</si>
  <si>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</si>
  <si>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</si>
  <si>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</si>
  <si>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</si>
  <si>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</si>
  <si>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</si>
  <si>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</si>
  <si>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</si>
  <si>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</si>
  <si>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</si>
  <si>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</si>
  <si>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</si>
  <si>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</si>
  <si>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</si>
  <si>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</si>
  <si>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</si>
  <si>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</si>
  <si>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</si>
  <si>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</si>
  <si>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</si>
  <si>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</si>
  <si>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</si>
  <si>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</si>
  <si>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</si>
  <si>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</si>
  <si>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</si>
  <si>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</si>
  <si>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</si>
  <si>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</si>
  <si>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</si>
  <si>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</si>
  <si>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</si>
  <si>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</si>
  <si>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</si>
  <si>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</si>
  <si>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</si>
  <si>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</si>
  <si>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</si>
  <si>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</si>
  <si>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</si>
  <si>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</si>
  <si>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</si>
  <si>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</si>
  <si>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</si>
  <si>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</si>
  <si>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</si>
  <si>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</si>
  <si>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</si>
  <si>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</si>
  <si>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</si>
  <si>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</si>
  <si>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</si>
  <si>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</si>
  <si>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</si>
  <si>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</si>
  <si>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</si>
  <si>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</si>
  <si>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</si>
  <si>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</si>
  <si>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</si>
  <si>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</si>
  <si>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</si>
  <si>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</si>
  <si>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</si>
  <si>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</si>
  <si>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</si>
  <si>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</si>
  <si>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</si>
  <si>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</si>
  <si>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</si>
  <si>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</si>
  <si>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</si>
  <si>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</si>
  <si>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</si>
  <si>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</si>
  <si>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</si>
  <si>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</si>
  <si>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</si>
  <si>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</si>
  <si>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</si>
  <si>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</si>
  <si>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</si>
  <si>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</si>
  <si>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</si>
  <si>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</si>
  <si>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</si>
  <si>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</si>
  <si>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</si>
  <si>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</si>
  <si>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</si>
  <si>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</si>
  <si>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</si>
  <si>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</si>
  <si>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</si>
  <si>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</si>
  <si>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</si>
  <si>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</si>
  <si>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</si>
  <si>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</si>
  <si>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</si>
  <si>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</si>
  <si>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</si>
  <si>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</si>
  <si>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</si>
  <si>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</si>
  <si>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</si>
  <si>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</si>
  <si>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</si>
  <si>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</si>
  <si>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</si>
  <si>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</si>
  <si>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</si>
  <si>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</si>
  <si>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</si>
  <si>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</si>
  <si>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</si>
  <si>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</si>
  <si>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</si>
  <si>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</si>
  <si>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</si>
  <si>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</si>
  <si>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</si>
  <si>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</si>
  <si>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</si>
  <si>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</si>
  <si>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</si>
  <si>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</si>
  <si>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</si>
  <si>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</si>
  <si>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</si>
  <si>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</si>
  <si>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</si>
  <si>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</si>
  <si>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</si>
  <si>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</si>
  <si>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</si>
  <si>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</si>
  <si>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</si>
  <si>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</si>
  <si>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</si>
  <si>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</si>
  <si>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</si>
  <si>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</si>
  <si>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</si>
  <si>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</si>
  <si>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</si>
  <si>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</si>
  <si>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</si>
  <si>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</si>
  <si>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</si>
  <si>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</si>
  <si>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</si>
  <si>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</si>
  <si>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</si>
  <si>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</si>
  <si>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</si>
  <si>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</si>
  <si>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</si>
  <si>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</si>
  <si>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</si>
  <si>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</si>
  <si>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</si>
  <si>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</si>
  <si>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</si>
  <si>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</si>
  <si>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</si>
  <si>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</si>
  <si>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</si>
  <si>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</si>
  <si>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</si>
  <si>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</si>
  <si>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</si>
  <si>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</si>
  <si>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</si>
  <si>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</si>
  <si>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</si>
  <si>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</si>
  <si>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</si>
  <si>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</si>
  <si>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</si>
  <si>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</si>
  <si>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</si>
  <si>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</si>
  <si>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</si>
  <si>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</si>
  <si>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</si>
  <si>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</si>
  <si>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</si>
  <si>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</si>
  <si>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</si>
  <si>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</si>
  <si>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</si>
  <si>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</si>
  <si>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</si>
  <si>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</si>
  <si>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</si>
  <si>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</si>
  <si>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</si>
  <si>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</si>
  <si>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</si>
  <si>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</si>
  <si>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</si>
  <si>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</si>
  <si>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</si>
  <si>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</si>
  <si>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</si>
  <si>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</si>
  <si>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</si>
  <si>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</si>
  <si>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</si>
  <si>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</si>
  <si>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</si>
  <si>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</si>
  <si>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</si>
  <si>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</si>
  <si>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</si>
  <si>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</si>
  <si>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</si>
  <si>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</si>
  <si>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</si>
  <si>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</si>
  <si>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</si>
  <si>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</si>
  <si>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</si>
  <si>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</si>
  <si>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</si>
  <si>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</si>
  <si>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</si>
  <si>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</si>
  <si>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</si>
  <si>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</si>
  <si>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</si>
  <si>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</si>
  <si>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</si>
  <si>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</si>
  <si>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</si>
  <si>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</si>
  <si>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</si>
  <si>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</si>
  <si>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</si>
  <si>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</si>
  <si>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</si>
  <si>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</si>
  <si>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</si>
  <si>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</si>
  <si>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</si>
  <si>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</si>
  <si>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</si>
  <si>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</si>
  <si>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</si>
  <si>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</si>
  <si>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</si>
  <si>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</si>
  <si>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</si>
  <si>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</si>
  <si>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</si>
  <si>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</si>
  <si>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</si>
  <si>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</si>
  <si>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</si>
  <si>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</si>
  <si>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</si>
  <si>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</si>
  <si>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</si>
  <si>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</si>
  <si>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</si>
  <si>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</si>
  <si>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</si>
  <si>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</si>
  <si>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</si>
  <si>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</si>
  <si>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</si>
  <si>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</si>
  <si>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</si>
  <si>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</si>
  <si>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</si>
  <si>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</si>
  <si>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Mão de obra para concretagem do piso e instalação do meio-fio (PÁTIO)</t>
  </si>
  <si>
    <t>Mão de obra para concretagem do piso do galpão 2100m² (DPA IV)</t>
  </si>
  <si>
    <t>Piso pátio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</si>
</sst>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abSelected="1" workbookViewId="0">
      <selection activeCell="G22" sqref="G2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160740</v>
      </c>
    </row>
    <row r="5" spans="2:10" x14ac:dyDescent="0.25">
      <c r="B5" s="22">
        <v>2</v>
      </c>
      <c r="C5" s="21" t="s">
        <v>854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832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842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841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838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</row>
    <row r="20" spans="2:9" x14ac:dyDescent="0.25">
      <c r="B20" s="22">
        <v>17</v>
      </c>
      <c r="C20" s="31" t="s">
        <v>769</v>
      </c>
      <c r="D20" s="27">
        <v>2100</v>
      </c>
      <c r="E20" s="27" t="s">
        <v>836</v>
      </c>
      <c r="F20" s="32">
        <v>9.65</v>
      </c>
      <c r="G20" s="32">
        <f>F20*D20</f>
        <v>20265</v>
      </c>
      <c r="H20" s="27" t="s">
        <v>771</v>
      </c>
      <c r="I20" s="14" t="s">
        <v>837</v>
      </c>
    </row>
    <row r="21" spans="2:9" x14ac:dyDescent="0.25">
      <c r="B21" s="22">
        <v>18</v>
      </c>
      <c r="C21" s="31" t="s">
        <v>770</v>
      </c>
      <c r="D21" s="27">
        <v>2300</v>
      </c>
      <c r="E21" s="27" t="s">
        <v>836</v>
      </c>
      <c r="F21" s="32">
        <v>9.65</v>
      </c>
      <c r="G21" s="32">
        <f>F21*D21</f>
        <v>22195</v>
      </c>
      <c r="H21" s="27" t="s">
        <v>771</v>
      </c>
      <c r="I21" s="14" t="s">
        <v>837</v>
      </c>
    </row>
    <row r="22" spans="2:9" x14ac:dyDescent="0.25">
      <c r="B22" s="22">
        <v>19</v>
      </c>
      <c r="C22" s="31" t="s">
        <v>833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834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835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810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814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843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844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s="28" t="s">
        <v>845</v>
      </c>
      <c r="D41" s="27">
        <v>44</v>
      </c>
      <c r="E41" s="27" t="s">
        <v>849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s="28" t="s">
        <v>846</v>
      </c>
      <c r="D42" s="27">
        <v>3</v>
      </c>
      <c r="E42" s="27" t="s">
        <v>849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s="28" t="s">
        <v>847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s="28" t="s">
        <v>848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839</v>
      </c>
      <c r="D46" s="24"/>
      <c r="E46" s="24"/>
      <c r="F46" s="26"/>
      <c r="G46" s="26">
        <f>F46*D46</f>
        <v>0</v>
      </c>
      <c r="H46" s="24" t="s">
        <v>840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opLeftCell="A19" workbookViewId="0">
      <selection activeCell="G26" sqref="G26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826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2">
        <v>2</v>
      </c>
      <c r="C5" s="27" t="s">
        <v>807</v>
      </c>
      <c r="D5" s="31" t="s">
        <v>851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0.23836458165979033</v>
      </c>
      <c r="Q5" s="45">
        <f>P5</f>
        <v>0.23836458165979033</v>
      </c>
      <c r="R5" t="s">
        <v>823</v>
      </c>
    </row>
    <row r="6" spans="2:18" x14ac:dyDescent="0.25">
      <c r="B6" s="22">
        <v>3</v>
      </c>
      <c r="C6" s="17"/>
      <c r="D6" s="21" t="s">
        <v>853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0.19016073527915792</v>
      </c>
      <c r="Q6" s="45">
        <f>P6+Q5</f>
        <v>0.42852531693894824</v>
      </c>
      <c r="R6" t="s">
        <v>823</v>
      </c>
    </row>
    <row r="7" spans="2:18" x14ac:dyDescent="0.25">
      <c r="B7" s="22">
        <v>4</v>
      </c>
      <c r="C7" s="17"/>
      <c r="D7" s="21" t="s">
        <v>852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0.14698029233568582</v>
      </c>
    </row>
    <row r="8" spans="2:18" x14ac:dyDescent="0.25">
      <c r="B8" s="22">
        <v>5</v>
      </c>
      <c r="C8" s="34"/>
      <c r="D8" s="25" t="s">
        <v>858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0.17524829646746914</v>
      </c>
    </row>
    <row r="9" spans="2:18" x14ac:dyDescent="0.25">
      <c r="B9" s="22">
        <v>6</v>
      </c>
      <c r="C9" s="34"/>
      <c r="D9" s="25" t="s">
        <v>862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N9" s="41" t="s">
        <v>771</v>
      </c>
      <c r="O9" s="39">
        <f>SUMIF(Tabela24[Aplicação],"Fundação",Tabela24[Preço Total])</f>
        <v>416702.4</v>
      </c>
      <c r="P9" s="43">
        <f t="shared" si="0"/>
        <v>0.10007727248719463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1.5979142210158184E-2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0.11672780598694939</v>
      </c>
    </row>
    <row r="12" spans="2:18" x14ac:dyDescent="0.25">
      <c r="B12" s="22">
        <v>9</v>
      </c>
      <c r="C12" s="17" t="s">
        <v>807</v>
      </c>
      <c r="D12" s="25" t="s">
        <v>812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829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830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831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830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1.5979142210158184E-2</v>
      </c>
    </row>
    <row r="15" spans="2:18" x14ac:dyDescent="0.25">
      <c r="B15" s="22">
        <v>12</v>
      </c>
      <c r="C15" s="27" t="s">
        <v>807</v>
      </c>
      <c r="D15" s="31" t="s">
        <v>828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830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4.8273136343649853E-4</v>
      </c>
    </row>
    <row r="16" spans="2:18" x14ac:dyDescent="0.25">
      <c r="B16" s="22">
        <v>13</v>
      </c>
      <c r="C16" s="17" t="s">
        <v>807</v>
      </c>
      <c r="D16" s="31" t="s">
        <v>829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828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856</v>
      </c>
      <c r="E18" s="27">
        <v>30</v>
      </c>
      <c r="F18" s="27" t="s">
        <v>849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857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813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816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819</v>
      </c>
      <c r="O24" s="42">
        <f>SUM(O5:O20)</f>
        <v>4163806.5231375997</v>
      </c>
    </row>
    <row r="25" spans="2:16" x14ac:dyDescent="0.25">
      <c r="B25" s="22">
        <v>22</v>
      </c>
      <c r="C25" s="17" t="s">
        <v>807</v>
      </c>
      <c r="D25" s="31" t="s">
        <v>769</v>
      </c>
      <c r="E25" s="27">
        <v>4100</v>
      </c>
      <c r="F25" s="27" t="s">
        <v>836</v>
      </c>
      <c r="G25" s="32">
        <v>9.65</v>
      </c>
      <c r="H25" s="32">
        <f>G25*E25</f>
        <v>39565</v>
      </c>
      <c r="I25" s="27" t="s">
        <v>771</v>
      </c>
      <c r="J25" s="14" t="s">
        <v>837</v>
      </c>
      <c r="N25" s="40"/>
      <c r="O25" s="42"/>
    </row>
    <row r="26" spans="2:16" x14ac:dyDescent="0.25">
      <c r="B26" s="22">
        <v>23</v>
      </c>
      <c r="C26" s="17" t="s">
        <v>807</v>
      </c>
      <c r="D26" s="31" t="s">
        <v>770</v>
      </c>
      <c r="E26" s="27">
        <v>4000</v>
      </c>
      <c r="F26" s="27" t="s">
        <v>836</v>
      </c>
      <c r="G26" s="32">
        <v>9.65</v>
      </c>
      <c r="H26" s="32">
        <f>G26*E26</f>
        <v>38600</v>
      </c>
      <c r="I26" s="27" t="s">
        <v>771</v>
      </c>
      <c r="J26" s="14" t="s">
        <v>837</v>
      </c>
    </row>
    <row r="27" spans="2:16" x14ac:dyDescent="0.25">
      <c r="B27" s="22">
        <v>24</v>
      </c>
      <c r="C27" s="27" t="s">
        <v>807</v>
      </c>
      <c r="D27" s="31" t="s">
        <v>827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867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866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833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811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871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815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860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870</v>
      </c>
      <c r="E46" s="24">
        <v>1</v>
      </c>
      <c r="F46" s="24" t="s">
        <v>760</v>
      </c>
      <c r="G46" s="26"/>
      <c r="H46" s="26">
        <f>G46*E46</f>
        <v>0</v>
      </c>
      <c r="I46" s="24" t="s">
        <v>872</v>
      </c>
      <c r="J46" s="52" t="s">
        <v>863</v>
      </c>
    </row>
    <row r="47" spans="2:10" x14ac:dyDescent="0.25">
      <c r="B47" s="22">
        <v>44</v>
      </c>
      <c r="C47" s="17" t="s">
        <v>807</v>
      </c>
      <c r="D47" s="31" t="s">
        <v>855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832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817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54</v>
      </c>
      <c r="C54" s="17" t="s">
        <v>807</v>
      </c>
      <c r="D54" s="21" t="s">
        <v>791</v>
      </c>
      <c r="E54" s="22"/>
      <c r="F54" s="22"/>
      <c r="G54" s="19"/>
      <c r="H54" s="19">
        <f>G54*E54</f>
        <v>0</v>
      </c>
      <c r="I54" s="22" t="s">
        <v>419</v>
      </c>
    </row>
    <row r="55" spans="2:10" x14ac:dyDescent="0.25">
      <c r="B55" s="22">
        <v>55</v>
      </c>
      <c r="C55" s="17"/>
      <c r="D55" s="21" t="s">
        <v>850</v>
      </c>
      <c r="E55" s="22"/>
      <c r="F55" s="22"/>
      <c r="G55" s="19"/>
      <c r="H55" s="19">
        <f>G55*E55</f>
        <v>0</v>
      </c>
      <c r="I55" s="22" t="s">
        <v>799</v>
      </c>
    </row>
    <row r="56" spans="2:10" x14ac:dyDescent="0.25">
      <c r="B56" s="22">
        <v>56</v>
      </c>
      <c r="C56" s="17" t="s">
        <v>807</v>
      </c>
      <c r="D56" s="21" t="s">
        <v>792</v>
      </c>
      <c r="E56" s="22"/>
      <c r="F56" s="22"/>
      <c r="G56" s="19"/>
      <c r="H56" s="19">
        <f>G56*E56</f>
        <v>0</v>
      </c>
      <c r="I56" s="17" t="s">
        <v>799</v>
      </c>
    </row>
    <row r="57" spans="2:10" x14ac:dyDescent="0.25">
      <c r="B57" s="22">
        <v>57</v>
      </c>
      <c r="C57" s="17" t="s">
        <v>807</v>
      </c>
      <c r="D57" s="21" t="s">
        <v>784</v>
      </c>
      <c r="E57" s="22">
        <v>1</v>
      </c>
      <c r="F57" s="22" t="s">
        <v>760</v>
      </c>
      <c r="G57" s="19">
        <v>791792.51</v>
      </c>
      <c r="H57" s="19">
        <f>G57*E57</f>
        <v>791792.51</v>
      </c>
      <c r="I57" s="22" t="s">
        <v>783</v>
      </c>
    </row>
    <row r="58" spans="2:10" x14ac:dyDescent="0.25">
      <c r="B58" s="22">
        <v>51</v>
      </c>
      <c r="C58" s="17"/>
      <c r="D58" s="25" t="s">
        <v>864</v>
      </c>
      <c r="E58" s="24"/>
      <c r="F58" s="24"/>
      <c r="G58" s="53"/>
      <c r="H58" s="53">
        <f>G58*E58</f>
        <v>0</v>
      </c>
      <c r="I58" s="24"/>
    </row>
    <row r="59" spans="2:10" x14ac:dyDescent="0.25">
      <c r="B59" s="22">
        <v>52</v>
      </c>
      <c r="C59" s="17"/>
      <c r="D59" s="25" t="s">
        <v>865</v>
      </c>
      <c r="E59" s="24"/>
      <c r="F59" s="24"/>
      <c r="G59" s="53"/>
      <c r="H59" s="53">
        <f>G59*E59</f>
        <v>0</v>
      </c>
      <c r="I59" s="24"/>
    </row>
    <row r="60" spans="2:10" x14ac:dyDescent="0.25">
      <c r="B60" s="22">
        <v>53</v>
      </c>
      <c r="C60" s="17"/>
      <c r="D60" s="25" t="s">
        <v>868</v>
      </c>
      <c r="E60" s="24"/>
      <c r="F60" s="24"/>
      <c r="G60" s="53"/>
      <c r="H60" s="53">
        <f>G60*E60</f>
        <v>0</v>
      </c>
      <c r="I60" s="24"/>
    </row>
    <row r="61" spans="2:10" x14ac:dyDescent="0.25">
      <c r="B61" s="22"/>
      <c r="C61" s="17"/>
      <c r="D61" s="21" t="s">
        <v>869</v>
      </c>
      <c r="E61" s="22"/>
      <c r="F61" s="22"/>
      <c r="G61" s="19"/>
      <c r="H61" s="19">
        <f>G61*E61</f>
        <v>0</v>
      </c>
      <c r="I61" s="22"/>
      <c r="J61" s="52" t="s">
        <v>861</v>
      </c>
    </row>
    <row r="62" spans="2:10" x14ac:dyDescent="0.25">
      <c r="B62" s="22">
        <v>58</v>
      </c>
      <c r="C62" s="34"/>
      <c r="D62" s="25" t="s">
        <v>859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4128872.0265427995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2026-10-09T18:37:29Z</dcterms:modified>
</cp:coreProperties>
</file>