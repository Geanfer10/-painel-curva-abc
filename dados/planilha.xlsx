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29" i="6" l="1"/>
  <c r="H55" i="6"/>
  <c r="H54" i="6"/>
  <c r="H9" i="6"/>
  <c r="H43" i="6"/>
  <c r="H60" i="6"/>
  <c r="H8" i="6"/>
  <c r="H19" i="6"/>
  <c r="H18" i="6"/>
  <c r="G5" i="3"/>
  <c r="H6" i="6"/>
  <c r="H7" i="6"/>
  <c r="F4" i="3"/>
  <c r="H57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8" i="6"/>
  <c r="H17" i="6"/>
  <c r="H5" i="6"/>
  <c r="O11" i="6" s="1"/>
  <c r="H56" i="6"/>
  <c r="H59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3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<sst xmlns="http://schemas.openxmlformats.org/spreadsheetml/2006/main" count="2154" uniqueCount="872">
  <si>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</si>
  <si>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</si>
  <si>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</si>
  <si>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</si>
  <si>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</si>
  <si>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</si>
  <si>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</si>
  <si>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</si>
  <si>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</si>
  <si>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</si>
  <si>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</si>
  <si>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</si>
  <si>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</si>
  <si>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</si>
  <si>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</si>
  <si>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</si>
  <si>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</si>
  <si>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</si>
  <si>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</si>
  <si>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</si>
  <si>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</si>
  <si>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</si>
  <si>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</si>
  <si>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</si>
  <si>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</si>
  <si>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</si>
  <si>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</si>
  <si>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</si>
  <si>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</si>
  <si>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</si>
  <si>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</si>
  <si>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</si>
  <si>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</si>
  <si>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</si>
  <si>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</si>
  <si>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</si>
  <si>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</si>
  <si>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</si>
  <si>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</si>
  <si>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</si>
  <si>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</si>
  <si>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</si>
  <si>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</si>
  <si>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</si>
  <si>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</si>
  <si>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</si>
  <si>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</si>
  <si>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</si>
  <si>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</si>
  <si>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</si>
  <si>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</si>
  <si>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</si>
  <si>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</si>
  <si>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</si>
  <si>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</si>
  <si>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</si>
  <si>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</si>
  <si>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</si>
  <si>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</si>
  <si>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</si>
  <si>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</si>
  <si>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</si>
  <si>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</si>
  <si>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</si>
  <si>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</si>
  <si>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</si>
  <si>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</si>
  <si>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</si>
  <si>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</si>
  <si>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</si>
  <si>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</si>
  <si>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</si>
  <si>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</si>
  <si>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</si>
  <si>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</si>
  <si>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</si>
  <si>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</si>
  <si>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</si>
  <si>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</si>
  <si>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</si>
  <si>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</si>
  <si>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</si>
  <si>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</si>
  <si>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</si>
  <si>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</si>
  <si>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</si>
  <si>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</si>
  <si>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</si>
  <si>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</si>
  <si>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</si>
  <si>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</si>
  <si>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</si>
  <si>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</si>
  <si>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</si>
  <si>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</si>
  <si>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</si>
  <si>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</si>
  <si>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</si>
  <si>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</si>
  <si>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</si>
  <si>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</si>
  <si>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</si>
  <si>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</si>
  <si>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</si>
  <si>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</si>
  <si>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</si>
  <si>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</si>
  <si>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</si>
  <si>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</si>
  <si>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</si>
  <si>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</si>
  <si>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</si>
  <si>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</si>
  <si>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</si>
  <si>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</si>
  <si>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</si>
  <si>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</si>
  <si>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</si>
  <si>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</si>
  <si>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</si>
  <si>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</si>
  <si>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</si>
  <si>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</si>
  <si>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</si>
  <si>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</si>
  <si>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</si>
  <si>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</si>
  <si>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</si>
  <si>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</si>
  <si>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</si>
  <si>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</si>
  <si>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</si>
  <si>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</si>
  <si>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</si>
  <si>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</si>
  <si>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</si>
  <si>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</si>
  <si>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</si>
  <si>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</si>
  <si>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</si>
  <si>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</si>
  <si>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</si>
  <si>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</si>
  <si>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</si>
  <si>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</si>
  <si>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</si>
  <si>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</si>
  <si>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</si>
  <si>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</si>
  <si>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</si>
  <si>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</si>
  <si>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</si>
  <si>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</si>
  <si>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</si>
  <si>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</si>
  <si>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</si>
  <si>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</si>
  <si>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</si>
  <si>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</si>
  <si>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</si>
  <si>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</si>
  <si>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</si>
  <si>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</si>
  <si>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</si>
  <si>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</si>
  <si>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</si>
  <si>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</si>
  <si>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</si>
  <si>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</si>
  <si>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</si>
  <si>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</si>
  <si>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</si>
  <si>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</si>
  <si>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</si>
  <si>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</si>
  <si>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</si>
  <si>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</si>
  <si>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</si>
  <si>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</si>
  <si>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</si>
  <si>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</si>
  <si>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</si>
  <si>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</si>
  <si>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</si>
  <si>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</si>
  <si>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</si>
  <si>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</si>
  <si>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</si>
  <si>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</si>
  <si>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</si>
  <si>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</si>
  <si>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</si>
  <si>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</si>
  <si>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</si>
  <si>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</si>
  <si>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</si>
  <si>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</si>
  <si>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</si>
  <si>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</si>
  <si>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</si>
  <si>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</si>
  <si>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</si>
  <si>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</si>
  <si>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</si>
  <si>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</si>
  <si>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</si>
  <si>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</si>
  <si>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</si>
  <si>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</si>
  <si>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</si>
  <si>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</si>
  <si>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</si>
  <si>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</si>
  <si>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</si>
  <si>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</si>
  <si>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</si>
  <si>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</si>
  <si>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</si>
  <si>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</si>
  <si>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</si>
  <si>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</si>
  <si>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</si>
  <si>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</si>
  <si>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</si>
  <si>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</si>
  <si>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</si>
  <si>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</si>
  <si>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</si>
  <si>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</si>
  <si>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</si>
  <si>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</si>
  <si>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</si>
  <si>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</si>
  <si>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</si>
  <si>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</si>
  <si>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</si>
  <si>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</si>
  <si>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</si>
  <si>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</si>
  <si>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</si>
  <si>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</si>
  <si>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</si>
  <si>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</si>
  <si>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</si>
  <si>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</si>
  <si>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</si>
  <si>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</si>
  <si>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</si>
  <si>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</si>
  <si>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</si>
  <si>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</si>
  <si>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</si>
  <si>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</si>
  <si>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</si>
  <si>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</si>
  <si>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</si>
  <si>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</si>
  <si>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</si>
  <si>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</si>
  <si>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</si>
  <si>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</si>
  <si>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</si>
  <si>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</si>
  <si>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</si>
  <si>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</si>
  <si>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</si>
  <si>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</si>
  <si>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</si>
  <si>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</si>
  <si>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</si>
  <si>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</si>
  <si>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</si>
  <si>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</si>
  <si>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</si>
  <si>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</si>
  <si>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</si>
  <si>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</si>
  <si>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</si>
  <si>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</si>
  <si>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</si>
  <si>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</si>
  <si>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</si>
  <si>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</si>
  <si>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</si>
  <si>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</si>
  <si>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</si>
  <si>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</si>
  <si>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</si>
  <si>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</si>
  <si>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</si>
  <si>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</si>
  <si>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</si>
  <si>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</si>
  <si>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</si>
  <si>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</si>
  <si>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</si>
  <si>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</si>
  <si>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</si>
  <si>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</si>
  <si>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</si>
  <si>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</si>
  <si>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</si>
  <si>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</si>
  <si>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</si>
  <si>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</si>
  <si>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</si>
  <si>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</si>
  <si>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</si>
  <si>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</si>
  <si>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</si>
  <si>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</si>
  <si>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</si>
  <si>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</si>
  <si>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</si>
  <si>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</si>
  <si>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</si>
  <si>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</si>
  <si>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</si>
  <si>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</si>
  <si>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</si>
  <si>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</si>
  <si>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</si>
  <si>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</si>
  <si>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</si>
  <si>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</si>
  <si>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</si>
  <si>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</si>
  <si>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</si>
  <si>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</si>
  <si>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</si>
  <si>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</si>
  <si>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</si>
  <si>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</si>
  <si>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</si>
  <si>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</si>
  <si>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</si>
  <si>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</si>
  <si>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</si>
  <si>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</si>
  <si>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</si>
  <si>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</si>
  <si>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</si>
  <si>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</si>
  <si>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</si>
  <si>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</si>
  <si>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</si>
  <si>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</si>
  <si>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</si>
  <si>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</si>
  <si>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</si>
  <si>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</si>
  <si>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</si>
  <si>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</si>
  <si>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</si>
  <si>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</si>
  <si>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</si>
  <si>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</si>
  <si>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</si>
  <si>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</si>
  <si>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</si>
  <si>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</si>
  <si>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</si>
  <si>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</si>
  <si>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</si>
  <si>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</si>
  <si>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</si>
  <si>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</si>
  <si>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</si>
  <si>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</si>
  <si>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</si>
  <si>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</si>
  <si>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</si>
  <si>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</si>
  <si>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</si>
  <si>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</si>
  <si>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</si>
  <si>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</si>
  <si>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</si>
  <si>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</si>
  <si>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</si>
  <si>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</si>
  <si>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</si>
  <si>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</si>
  <si>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</si>
  <si>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</si>
  <si>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</si>
  <si>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</si>
  <si>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</si>
  <si>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</si>
  <si>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</si>
  <si>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</si>
  <si>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</si>
  <si>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</si>
  <si>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</si>
  <si>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</si>
  <si>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</si>
  <si>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</si>
  <si>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</si>
  <si>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</si>
  <si>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</si>
  <si>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</si>
  <si>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</si>
  <si>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</si>
  <si>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</si>
  <si>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</si>
  <si>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</si>
  <si>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</si>
  <si>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</si>
  <si>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</si>
  <si>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</si>
  <si>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</si>
  <si>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</si>
  <si>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</si>
  <si>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</si>
  <si>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</si>
  <si>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</si>
  <si>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</si>
  <si>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</si>
  <si>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</si>
  <si>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</si>
  <si>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</si>
  <si>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</si>
  <si>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</si>
  <si>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</si>
  <si>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</si>
  <si>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</si>
  <si>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</si>
  <si>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</si>
  <si>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</si>
  <si>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</si>
  <si>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</si>
  <si>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</si>
  <si>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</si>
  <si>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</si>
  <si>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</si>
  <si>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</si>
  <si>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</si>
  <si>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</si>
  <si>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</si>
  <si>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</si>
  <si>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</si>
  <si>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</si>
  <si>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</si>
  <si>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</si>
  <si>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</si>
  <si>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</si>
  <si>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</si>
  <si>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</si>
  <si>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</si>
  <si>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</si>
  <si>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</si>
  <si>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</si>
  <si>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</si>
  <si>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</si>
  <si>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</si>
  <si>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</si>
  <si>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</si>
  <si>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</si>
  <si>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</si>
  <si>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</si>
  <si>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</si>
  <si>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</si>
  <si>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</si>
  <si>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</si>
  <si>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</si>
  <si>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</si>
  <si>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</si>
  <si>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</si>
  <si>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</si>
  <si>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</si>
  <si>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</si>
  <si>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</si>
  <si>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</si>
  <si>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</si>
  <si>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</si>
  <si>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</si>
  <si>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</si>
  <si>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</si>
  <si>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</si>
  <si>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</si>
  <si>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</si>
  <si>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</si>
  <si>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</si>
  <si>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</si>
  <si>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</si>
  <si>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</si>
  <si>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</si>
  <si>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</si>
  <si>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</si>
  <si>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</si>
  <si>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</si>
  <si>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</si>
  <si>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</si>
  <si>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</si>
  <si>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</si>
  <si>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</si>
  <si>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</si>
  <si>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</si>
  <si>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</si>
  <si>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</si>
  <si>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</si>
  <si>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</si>
  <si>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</si>
  <si>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</si>
  <si>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</si>
  <si>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</si>
  <si>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</si>
  <si>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</si>
  <si>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</si>
  <si>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</si>
  <si>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</si>
  <si>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</si>
  <si>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</si>
  <si>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</si>
  <si>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</si>
  <si>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</si>
  <si>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</si>
  <si>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</si>
  <si>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</si>
  <si>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</si>
  <si>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</si>
  <si>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</si>
  <si>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</si>
  <si>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</si>
  <si>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</si>
  <si>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</si>
  <si>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</si>
  <si>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</si>
  <si>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</si>
  <si>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</si>
  <si>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</si>
  <si>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</si>
  <si>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</si>
  <si>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</si>
  <si>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</si>
  <si>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</si>
  <si>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</si>
  <si>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</si>
  <si>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</si>
  <si>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</si>
  <si>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</si>
  <si>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</si>
  <si>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</si>
  <si>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</si>
  <si>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</si>
  <si>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</si>
  <si>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</si>
  <si>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</si>
  <si>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</si>
  <si>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</si>
  <si>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</si>
  <si>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</si>
  <si>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</si>
  <si>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</si>
  <si>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</si>
  <si>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</si>
  <si>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</si>
  <si>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</si>
  <si>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</si>
  <si>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</si>
  <si>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</si>
  <si>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</si>
  <si>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</si>
  <si>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</si>
  <si>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</si>
  <si>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</si>
  <si>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</si>
  <si>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</si>
  <si>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</si>
  <si>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</si>
  <si>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</si>
  <si>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</si>
  <si>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</si>
  <si>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</si>
  <si>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</si>
  <si>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</si>
  <si>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</si>
  <si>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</si>
  <si>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</si>
  <si>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</si>
  <si>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</si>
  <si>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</si>
  <si>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</si>
  <si>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</si>
  <si>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</si>
  <si>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</si>
  <si>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</si>
  <si>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</si>
  <si>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</si>
  <si>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</si>
  <si>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</si>
  <si>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</si>
  <si>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</si>
  <si>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</si>
  <si>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</si>
  <si>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</si>
  <si>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</si>
  <si>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</si>
  <si>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</si>
  <si>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</si>
  <si>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</si>
  <si>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</si>
  <si>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</si>
  <si>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</si>
  <si>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</si>
  <si>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</si>
  <si>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</si>
  <si>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</si>
  <si>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</si>
  <si>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</si>
  <si>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</si>
  <si>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</si>
  <si>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</si>
  <si>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</si>
  <si>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</si>
  <si>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</si>
  <si>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</si>
  <si>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</si>
  <si>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</si>
  <si>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</si>
  <si>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</si>
  <si>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</si>
  <si>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</si>
  <si>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</si>
  <si>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</si>
  <si>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</si>
  <si>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</si>
  <si>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</si>
  <si>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</si>
  <si>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</si>
  <si>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</si>
  <si>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</si>
  <si>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</si>
  <si>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</si>
  <si>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</si>
  <si>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</si>
  <si>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</si>
  <si>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</si>
  <si>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</si>
  <si>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</si>
  <si>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</si>
  <si>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</si>
  <si>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</si>
  <si>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</si>
  <si>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</si>
  <si>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</si>
  <si>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</si>
  <si>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</si>
  <si>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</si>
  <si>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</si>
  <si>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</si>
  <si>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</si>
  <si>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</si>
  <si>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</si>
  <si>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</si>
  <si>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</si>
  <si>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</si>
  <si>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</si>
  <si>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</si>
  <si>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</si>
  <si>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</si>
  <si>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</si>
  <si>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</si>
  <si>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</si>
  <si>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</si>
  <si>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</si>
  <si>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</si>
  <si>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</si>
  <si>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</si>
  <si>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</si>
  <si>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</si>
  <si>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</si>
  <si>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</si>
  <si>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</si>
  <si>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</si>
  <si>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</si>
  <si>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</si>
  <si>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</si>
  <si>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</si>
  <si>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</si>
  <si>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</si>
  <si>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</si>
  <si>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</si>
  <si>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</si>
  <si>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</si>
  <si>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</si>
  <si>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</si>
  <si>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</si>
  <si>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</si>
  <si>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</si>
  <si>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</si>
  <si>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</si>
  <si>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</si>
  <si>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</si>
  <si>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</si>
  <si>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</si>
  <si>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</si>
  <si>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</si>
  <si>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</si>
  <si>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</si>
  <si>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</si>
  <si>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</si>
  <si>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</si>
  <si>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</si>
  <si>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</si>
  <si>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</si>
  <si>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</si>
  <si>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</si>
  <si>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</si>
  <si>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</si>
  <si>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</si>
  <si>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</si>
  <si>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</si>
  <si>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</si>
  <si>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</si>
  <si>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</si>
  <si>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</si>
  <si>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</si>
  <si>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</si>
  <si>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</si>
  <si>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</si>
  <si>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</si>
  <si>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</si>
  <si>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</si>
  <si>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</si>
  <si>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</si>
  <si>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</si>
  <si>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</si>
  <si>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</si>
  <si>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</si>
  <si>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</si>
  <si>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</si>
  <si>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</si>
  <si>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</si>
  <si>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</si>
  <si>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</si>
  <si>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</si>
  <si>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</si>
  <si>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</si>
  <si>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</si>
  <si>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</si>
  <si>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</si>
  <si>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</si>
  <si>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</si>
  <si>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</si>
  <si>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</si>
  <si>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</si>
  <si>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</si>
  <si>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</si>
  <si>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</si>
  <si>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</si>
  <si>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</si>
  <si>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</si>
  <si>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</si>
  <si>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</si>
  <si>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</si>
  <si>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</si>
  <si>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</si>
  <si>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</si>
  <si>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</si>
  <si>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</si>
  <si>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</si>
  <si>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</si>
  <si>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</si>
  <si>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</si>
  <si>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</si>
  <si>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</si>
  <si>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</si>
  <si>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</si>
  <si>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</si>
  <si>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</si>
  <si>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</si>
  <si>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</si>
  <si>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</si>
  <si>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</si>
  <si>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</si>
  <si>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</si>
  <si>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</si>
  <si>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</si>
  <si>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</si>
  <si>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</si>
  <si>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</si>
  <si>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</si>
  <si>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</si>
  <si>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</si>
  <si>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</si>
  <si>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</si>
  <si>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</si>
  <si>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</si>
  <si>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</si>
  <si>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</si>
  <si>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</si>
  <si>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</si>
  <si>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</si>
  <si>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</si>
  <si>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</si>
  <si>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</si>
  <si>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</si>
  <si>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</si>
  <si>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</si>
  <si>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</si>
  <si>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</si>
  <si>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</si>
  <si>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</si>
  <si>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</si>
  <si>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</si>
  <si>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</si>
  <si>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</si>
  <si>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</si>
  <si>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</si>
  <si>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</si>
  <si>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</si>
  <si>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</si>
  <si>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</si>
  <si>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</si>
  <si>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</si>
  <si>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</si>
  <si>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</si>
  <si>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</si>
  <si>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</si>
  <si>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</si>
  <si>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</si>
  <si>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</si>
  <si>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</si>
  <si>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</si>
  <si>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</si>
  <si>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</si>
  <si>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</si>
  <si>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</si>
  <si>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</si>
  <si>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</si>
  <si>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</si>
  <si>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</si>
  <si>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</si>
  <si>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</si>
  <si>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</si>
  <si>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 xml:space="preserve">Concreto para fundação profunda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</si>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</sst>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0" totalsRowShown="0" dataDxfId="16">
  <autoFilter ref="B3:I60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858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846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845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842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841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840</v>
      </c>
      <c r="F20" s="20"/>
      <c r="G20" s="20">
        <f>F20*D20</f>
        <v>0</v>
      </c>
      <c r="H20" s="17" t="s">
        <v>771</v>
      </c>
      <c r="I20" s="14" t="s">
        <v>841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840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837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838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839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847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848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849</v>
      </c>
      <c r="D41" s="27">
        <v>44</v>
      </c>
      <c r="E41" s="27" t="s">
        <v>853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850</v>
      </c>
      <c r="D42" s="27">
        <v>3</v>
      </c>
      <c r="E42" s="27" t="s">
        <v>853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851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852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843</v>
      </c>
      <c r="D46" s="24"/>
      <c r="E46" s="24"/>
      <c r="F46" s="26"/>
      <c r="G46" s="26">
        <f>F46*D46</f>
        <v>0</v>
      </c>
      <c r="H46" s="24" t="s">
        <v>844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3"/>
  <sheetViews>
    <sheetView tabSelected="1" topLeftCell="A15" workbookViewId="0">
      <selection activeCell="B60" sqref="B6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855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0.25098381953474613</v>
      </c>
      <c r="Q5" s="45">
        <f>P5</f>
        <v>0.25098381953474613</v>
      </c>
      <c r="R5" t="s">
        <v>826</v>
      </c>
    </row>
    <row r="6" spans="2:18" x14ac:dyDescent="0.25">
      <c r="B6" s="22">
        <v>3</v>
      </c>
      <c r="C6" s="17"/>
      <c r="D6" s="21" t="s">
        <v>857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0.20022801765917683</v>
      </c>
      <c r="Q6" s="45">
        <f>P6+Q5</f>
        <v>0.45121183719392299</v>
      </c>
      <c r="R6" t="s">
        <v>826</v>
      </c>
    </row>
    <row r="7" spans="2:18" x14ac:dyDescent="0.25">
      <c r="B7" s="22">
        <v>4</v>
      </c>
      <c r="C7" s="17"/>
      <c r="D7" s="21" t="s">
        <v>856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0.16572388491386134</v>
      </c>
    </row>
    <row r="8" spans="2:18" x14ac:dyDescent="0.25">
      <c r="B8" s="22">
        <v>5</v>
      </c>
      <c r="C8" s="34"/>
      <c r="D8" s="25" t="s">
        <v>862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0.184526100765845</v>
      </c>
    </row>
    <row r="9" spans="2:18" x14ac:dyDescent="0.25">
      <c r="B9" s="22">
        <v>6</v>
      </c>
      <c r="C9" s="34"/>
      <c r="D9" s="25" t="s">
        <v>867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4.1472222181168403E-2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1.6825092540461589E-2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0.12290748226315634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1.6825092540461589E-2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5.0828760112285663E-4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860</v>
      </c>
      <c r="E18" s="27">
        <v>30</v>
      </c>
      <c r="F18" s="27" t="s">
        <v>853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861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18" t="s">
        <v>794</v>
      </c>
      <c r="E24" s="17">
        <v>1</v>
      </c>
      <c r="F24" s="17" t="s">
        <v>760</v>
      </c>
      <c r="G24" s="20"/>
      <c r="H24" s="20">
        <f>G24*E24</f>
        <v>0</v>
      </c>
      <c r="I24" s="17" t="s">
        <v>771</v>
      </c>
      <c r="N24" s="40" t="s">
        <v>822</v>
      </c>
      <c r="O24" s="42">
        <f>SUM(O5:O20)</f>
        <v>3954454.1231375998</v>
      </c>
    </row>
    <row r="25" spans="2:16" x14ac:dyDescent="0.25">
      <c r="B25" s="22">
        <v>22</v>
      </c>
      <c r="C25" s="17" t="s">
        <v>807</v>
      </c>
      <c r="D25" s="18" t="s">
        <v>769</v>
      </c>
      <c r="E25" s="17"/>
      <c r="F25" s="17" t="s">
        <v>840</v>
      </c>
      <c r="G25" s="20"/>
      <c r="H25" s="20">
        <f>G25*E25</f>
        <v>0</v>
      </c>
      <c r="I25" s="17" t="s">
        <v>771</v>
      </c>
      <c r="J25" s="14" t="s">
        <v>841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/>
      <c r="F26" s="17" t="s">
        <v>840</v>
      </c>
      <c r="G26" s="20"/>
      <c r="H26" s="20">
        <f>G26*E26</f>
        <v>0</v>
      </c>
      <c r="I26" s="17" t="s">
        <v>771</v>
      </c>
      <c r="J26" s="14" t="s">
        <v>841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18" t="s">
        <v>836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/>
      <c r="D29" s="18" t="s">
        <v>871</v>
      </c>
      <c r="E29" s="17"/>
      <c r="F29" s="17"/>
      <c r="G29" s="20"/>
      <c r="H29" s="20">
        <f>G29*E29</f>
        <v>0</v>
      </c>
      <c r="I29" s="17"/>
    </row>
    <row r="30" spans="2:16" x14ac:dyDescent="0.25">
      <c r="B30" s="22">
        <v>27</v>
      </c>
      <c r="C30" s="17" t="s">
        <v>807</v>
      </c>
      <c r="D30" s="18" t="s">
        <v>837</v>
      </c>
      <c r="E30" s="17"/>
      <c r="F30" s="17"/>
      <c r="G30" s="20"/>
      <c r="H30" s="20">
        <f>G30*E30</f>
        <v>0</v>
      </c>
      <c r="I30" s="1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864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865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>
        <v>43350</v>
      </c>
      <c r="H46" s="26">
        <f>G46*E46</f>
        <v>43350</v>
      </c>
      <c r="I46" s="24" t="s">
        <v>635</v>
      </c>
      <c r="J46" s="52" t="s">
        <v>868</v>
      </c>
    </row>
    <row r="47" spans="2:10" x14ac:dyDescent="0.25">
      <c r="B47" s="22">
        <v>44</v>
      </c>
      <c r="C47" s="17" t="s">
        <v>807</v>
      </c>
      <c r="D47" s="31" t="s">
        <v>859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869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870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 t="s">
        <v>807</v>
      </c>
      <c r="D56" s="21" t="s">
        <v>791</v>
      </c>
      <c r="E56" s="22"/>
      <c r="F56" s="22"/>
      <c r="G56" s="19"/>
      <c r="H56" s="19">
        <f>G56*E56</f>
        <v>0</v>
      </c>
      <c r="I56" s="22" t="s">
        <v>419</v>
      </c>
    </row>
    <row r="57" spans="2:10" x14ac:dyDescent="0.25">
      <c r="B57" s="22">
        <v>54</v>
      </c>
      <c r="C57" s="17"/>
      <c r="D57" s="21" t="s">
        <v>854</v>
      </c>
      <c r="E57" s="22"/>
      <c r="F57" s="22"/>
      <c r="G57" s="19"/>
      <c r="H57" s="19">
        <f>G57*E57</f>
        <v>0</v>
      </c>
      <c r="I57" s="22" t="s">
        <v>799</v>
      </c>
    </row>
    <row r="58" spans="2:10" x14ac:dyDescent="0.25">
      <c r="B58" s="22">
        <v>55</v>
      </c>
      <c r="C58" s="17" t="s">
        <v>807</v>
      </c>
      <c r="D58" s="21" t="s">
        <v>792</v>
      </c>
      <c r="E58" s="22"/>
      <c r="F58" s="22"/>
      <c r="G58" s="19"/>
      <c r="H58" s="19">
        <f>G58*E58</f>
        <v>0</v>
      </c>
      <c r="I58" s="17" t="s">
        <v>799</v>
      </c>
    </row>
    <row r="59" spans="2:10" x14ac:dyDescent="0.25">
      <c r="B59" s="22">
        <v>56</v>
      </c>
      <c r="C59" s="17" t="s">
        <v>807</v>
      </c>
      <c r="D59" s="21" t="s">
        <v>784</v>
      </c>
      <c r="E59" s="22">
        <v>1</v>
      </c>
      <c r="F59" s="22" t="s">
        <v>760</v>
      </c>
      <c r="G59" s="19">
        <v>791792.51</v>
      </c>
      <c r="H59" s="19">
        <f>G59*E59</f>
        <v>791792.51</v>
      </c>
      <c r="I59" s="22" t="s">
        <v>783</v>
      </c>
      <c r="J59" s="52" t="s">
        <v>866</v>
      </c>
    </row>
    <row r="60" spans="2:10" x14ac:dyDescent="0.25">
      <c r="B60" s="22">
        <v>57</v>
      </c>
      <c r="C60" s="34"/>
      <c r="D60" s="25" t="s">
        <v>863</v>
      </c>
      <c r="E60" s="24"/>
      <c r="F60" s="24"/>
      <c r="G60" s="26"/>
      <c r="H60" s="51">
        <f>G60*E60</f>
        <v>0</v>
      </c>
      <c r="I60" s="24"/>
    </row>
    <row r="61" spans="2:10" x14ac:dyDescent="0.25">
      <c r="B61" s="24"/>
      <c r="C61" s="34"/>
      <c r="D61" s="25"/>
      <c r="E61" s="24"/>
      <c r="F61" s="24"/>
      <c r="G61" s="26"/>
      <c r="H61" s="51"/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D63" s="38"/>
      <c r="H63" s="16">
        <f>SUM(Tabela24[Preço Total])</f>
        <v>3919519.6265428001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2026-10-09T17:44:33Z</dcterms:modified>
</cp:coreProperties>
</file>