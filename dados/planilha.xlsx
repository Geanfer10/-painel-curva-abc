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1"/>
  </bookViews>
  <sheets>
    <sheet name="EAP_Cronograma" sheetId="1" r:id="rId1"/>
    <sheet name="DPA IV" sheetId="6" r:id="rId2"/>
    <sheet name=" ABC DPA IV" sheetId="7" r:id="rId3"/>
    <sheet name="Expansão DMP" sheetId="3" r:id="rId4"/>
    <sheet name="ABC DMP" sheetId="8" r:id="rId5"/>
  </sheets>
  <definedNames>
    <definedName name="_xlnm._FilterDatabase" localSheetId="2" hidden="1">' ABC DPA IV'!$C$4:$G$4</definedName>
    <definedName name="_xlnm._FilterDatabase" localSheetId="4" hidden="1">'ABC DMP'!$C$6:$G$6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G46" i="3" l="1"/>
  <c r="G48" i="3"/>
  <c r="G49" i="3"/>
  <c r="G50" i="3"/>
  <c r="G51" i="3"/>
  <c r="G47" i="3"/>
  <c r="G44" i="3" l="1"/>
  <c r="G45" i="3" l="1"/>
  <c r="H18" i="6"/>
  <c r="H27" i="6"/>
  <c r="H85" i="6"/>
  <c r="H84" i="6"/>
  <c r="H83" i="6"/>
  <c r="D9" i="8" l="1"/>
  <c r="H77" i="6"/>
  <c r="H6" i="6" l="1"/>
  <c r="H86" i="6"/>
  <c r="G15" i="3" l="1"/>
  <c r="H7" i="6" l="1"/>
  <c r="H10" i="6"/>
  <c r="H9" i="6"/>
  <c r="E97" i="6" l="1"/>
  <c r="E20" i="6"/>
  <c r="H37" i="6"/>
  <c r="E36" i="6"/>
  <c r="H21" i="6"/>
  <c r="H19" i="6"/>
  <c r="H20" i="6"/>
  <c r="E26" i="6"/>
  <c r="H25" i="6"/>
  <c r="H82" i="6" l="1"/>
  <c r="H95" i="6"/>
  <c r="H94" i="6"/>
  <c r="H93" i="6"/>
  <c r="H81" i="6" l="1"/>
  <c r="G21" i="3"/>
  <c r="E31" i="6"/>
  <c r="H31" i="6" s="1"/>
  <c r="H35" i="6"/>
  <c r="H36" i="6"/>
  <c r="G10" i="3"/>
  <c r="G7" i="3"/>
  <c r="H29" i="6"/>
  <c r="H30" i="6"/>
  <c r="H32" i="6"/>
  <c r="H33" i="6"/>
  <c r="H34" i="6"/>
  <c r="G13" i="3"/>
  <c r="G12" i="3"/>
  <c r="G11" i="3"/>
  <c r="G9" i="3"/>
  <c r="G8" i="3"/>
  <c r="G6" i="3"/>
  <c r="G31" i="3"/>
  <c r="G32" i="3"/>
  <c r="G33" i="3"/>
  <c r="G14" i="3"/>
  <c r="D7" i="8" s="1"/>
  <c r="G19" i="3"/>
  <c r="H76" i="6"/>
  <c r="D18" i="7" s="1"/>
  <c r="H24" i="6"/>
  <c r="D15" i="8" l="1"/>
  <c r="D17" i="8"/>
  <c r="H26" i="6"/>
  <c r="H23" i="6"/>
  <c r="H22" i="6"/>
  <c r="E38" i="6"/>
  <c r="D16" i="3"/>
  <c r="G16" i="3" s="1"/>
  <c r="G17" i="3"/>
  <c r="D18" i="3"/>
  <c r="G47" i="6"/>
  <c r="F22" i="3"/>
  <c r="D16" i="8" l="1"/>
  <c r="H56" i="6"/>
  <c r="H90" i="6"/>
  <c r="H91" i="6"/>
  <c r="H88" i="6"/>
  <c r="H89" i="6"/>
  <c r="E14" i="6"/>
  <c r="H14" i="6" s="1"/>
  <c r="E13" i="6"/>
  <c r="H13" i="6" s="1"/>
  <c r="E12" i="6"/>
  <c r="E15" i="6" s="1"/>
  <c r="H15" i="6" s="1"/>
  <c r="E72" i="6"/>
  <c r="E71" i="6"/>
  <c r="H53" i="6"/>
  <c r="H98" i="6"/>
  <c r="H97" i="6"/>
  <c r="H11" i="6"/>
  <c r="H70" i="6"/>
  <c r="H17" i="6"/>
  <c r="H8" i="6"/>
  <c r="H44" i="6"/>
  <c r="H43" i="6"/>
  <c r="H4" i="6"/>
  <c r="H5" i="6"/>
  <c r="F5" i="3"/>
  <c r="G5" i="3" s="1"/>
  <c r="D8" i="8" s="1"/>
  <c r="H87" i="6"/>
  <c r="D16" i="7" s="1"/>
  <c r="G52" i="3"/>
  <c r="G54" i="3"/>
  <c r="D19" i="8" s="1"/>
  <c r="G29" i="3"/>
  <c r="G27" i="3"/>
  <c r="H12" i="6" l="1"/>
  <c r="H40" i="6"/>
  <c r="E42" i="6"/>
  <c r="H39" i="6"/>
  <c r="E41" i="6"/>
  <c r="H38" i="6"/>
  <c r="D17" i="7" s="1"/>
  <c r="H51" i="6" l="1"/>
  <c r="H66" i="6" l="1"/>
  <c r="H68" i="6"/>
  <c r="H48" i="6"/>
  <c r="H49" i="6"/>
  <c r="H50" i="6"/>
  <c r="H75" i="6"/>
  <c r="H52" i="6"/>
  <c r="H54" i="6"/>
  <c r="H41" i="6"/>
  <c r="H42" i="6"/>
  <c r="H3" i="6"/>
  <c r="D9" i="7" s="1"/>
  <c r="H92" i="6"/>
  <c r="D6" i="7" s="1"/>
  <c r="H55" i="6"/>
  <c r="H74" i="6"/>
  <c r="D5" i="7" s="1"/>
  <c r="H28" i="6"/>
  <c r="D14" i="7" s="1"/>
  <c r="H45" i="6"/>
  <c r="H46" i="6"/>
  <c r="H16" i="6"/>
  <c r="D7" i="7" s="1"/>
  <c r="H47" i="6"/>
  <c r="H57" i="6"/>
  <c r="H58" i="6"/>
  <c r="H59" i="6"/>
  <c r="H60" i="6"/>
  <c r="H61" i="6"/>
  <c r="H62" i="6"/>
  <c r="H2" i="6"/>
  <c r="D21" i="7" s="1"/>
  <c r="H78" i="6"/>
  <c r="H79" i="6"/>
  <c r="H80" i="6"/>
  <c r="H96" i="6"/>
  <c r="D8" i="7" s="1"/>
  <c r="H69" i="6"/>
  <c r="H73" i="6"/>
  <c r="D15" i="7" l="1"/>
  <c r="D19" i="7"/>
  <c r="D20" i="7"/>
  <c r="D13" i="7"/>
  <c r="D10" i="7"/>
  <c r="E63" i="6"/>
  <c r="H63" i="6" s="1"/>
  <c r="E64" i="6"/>
  <c r="H64" i="6" s="1"/>
  <c r="E65" i="6"/>
  <c r="H65" i="6" s="1"/>
  <c r="H72" i="6"/>
  <c r="H71" i="6"/>
  <c r="D12" i="7" s="1"/>
  <c r="E67" i="6" l="1"/>
  <c r="H67" i="6" s="1"/>
  <c r="D11" i="7" s="1"/>
  <c r="G23" i="3"/>
  <c r="D11" i="8"/>
  <c r="G24" i="3" l="1"/>
  <c r="D38" i="3"/>
  <c r="G4" i="3"/>
  <c r="D20" i="8" s="1"/>
  <c r="H100" i="6" l="1"/>
  <c r="G37" i="3"/>
  <c r="G36" i="3"/>
  <c r="G35" i="3"/>
  <c r="G34" i="3"/>
  <c r="D18" i="8" s="1"/>
  <c r="G22" i="3"/>
  <c r="G20" i="3"/>
  <c r="D39" i="3"/>
  <c r="D2" i="7" l="1"/>
  <c r="E15" i="7" s="1"/>
  <c r="G18" i="3"/>
  <c r="D14" i="8" s="1"/>
  <c r="G53" i="3"/>
  <c r="D12" i="8" s="1"/>
  <c r="G30" i="3"/>
  <c r="G39" i="3"/>
  <c r="G40" i="3"/>
  <c r="G41" i="3"/>
  <c r="G42" i="3"/>
  <c r="G43" i="3"/>
  <c r="G25" i="3"/>
  <c r="D13" i="8" s="1"/>
  <c r="G26" i="3"/>
  <c r="G28" i="3"/>
  <c r="G38" i="3"/>
  <c r="D10" i="8" s="1"/>
  <c r="E12" i="7" l="1"/>
  <c r="E18" i="7"/>
  <c r="E16" i="7"/>
  <c r="E6" i="7"/>
  <c r="E8" i="7"/>
  <c r="E5" i="7"/>
  <c r="E13" i="7"/>
  <c r="E7" i="7"/>
  <c r="E9" i="7"/>
  <c r="E14" i="7"/>
  <c r="E17" i="7"/>
  <c r="E10" i="7"/>
  <c r="E19" i="7"/>
  <c r="E20" i="7"/>
  <c r="E11" i="7"/>
  <c r="E21" i="7"/>
  <c r="G57" i="3"/>
  <c r="H83" i="3" l="1"/>
  <c r="D2" i="8"/>
  <c r="E20" i="8" l="1"/>
  <c r="E16" i="8"/>
  <c r="E10" i="8"/>
  <c r="E19" i="8"/>
  <c r="E14" i="8"/>
  <c r="E18" i="8"/>
  <c r="E8" i="8"/>
  <c r="E15" i="8"/>
  <c r="E7" i="8"/>
  <c r="F7" i="8" s="1"/>
  <c r="E13" i="8"/>
  <c r="E9" i="8"/>
  <c r="E17" i="8"/>
  <c r="E11" i="8"/>
  <c r="E12" i="8"/>
  <c r="F8" i="8"/>
  <c r="F9" i="8" l="1"/>
  <c r="F10" i="8"/>
  <c r="F11" i="8" s="1"/>
  <c r="F12" i="8" s="1"/>
  <c r="F13" i="8" s="1"/>
  <c r="F14" i="8" s="1"/>
  <c r="F15" i="8" s="1"/>
  <c r="F16" i="8" s="1"/>
  <c r="F17" i="8" s="1"/>
  <c r="F18" i="8" s="1"/>
  <c r="F19" i="8" s="1"/>
  <c r="F20" i="8" s="1"/>
</calcChain>
</file>

<file path=xl/sharedStrings.xml><?xml version="1.0" encoding="utf-8"?>
<sst xmlns="http://schemas.openxmlformats.org/spreadsheetml/2006/main" count="2362" uniqueCount="925">
  <si>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</si>
  <si>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</si>
  <si>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</si>
  <si>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</si>
  <si>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</si>
  <si>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</si>
  <si>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</si>
  <si>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</si>
  <si>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</si>
  <si>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</si>
  <si>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</si>
  <si>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</si>
  <si>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</si>
  <si>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</si>
  <si>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</si>
  <si>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</si>
  <si>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</si>
  <si>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</si>
  <si>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</si>
  <si>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</si>
  <si>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</si>
  <si>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</si>
  <si>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</si>
  <si>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</si>
  <si>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</si>
  <si>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</si>
  <si>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</si>
  <si>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</si>
  <si>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</si>
  <si>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</si>
  <si>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</si>
  <si>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</si>
  <si>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</si>
  <si>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</si>
  <si>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</si>
  <si>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</si>
  <si>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</si>
  <si>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</si>
  <si>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</si>
  <si>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</si>
  <si>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</si>
  <si>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</si>
  <si>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</si>
  <si>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</si>
  <si>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</si>
  <si>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</si>
  <si>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</si>
  <si>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</si>
  <si>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</si>
  <si>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</si>
  <si>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</si>
  <si>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</si>
  <si>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</si>
  <si>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</si>
  <si>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</si>
  <si>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</si>
  <si>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</si>
  <si>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</si>
  <si>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</si>
  <si>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</si>
  <si>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</si>
  <si>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</si>
  <si>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</si>
  <si>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</si>
  <si>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</si>
  <si>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</si>
  <si>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</si>
  <si>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</si>
  <si>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</si>
  <si>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</si>
  <si>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</si>
  <si>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</si>
  <si>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</si>
  <si>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</si>
  <si>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</si>
  <si>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</si>
  <si>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</si>
  <si>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</si>
  <si>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</si>
  <si>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</si>
  <si>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</si>
  <si>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</si>
  <si>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</si>
  <si>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</si>
  <si>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</si>
  <si>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</si>
  <si>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</si>
  <si>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</si>
  <si>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</si>
  <si>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</si>
  <si>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</si>
  <si>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</si>
  <si>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</si>
  <si>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</si>
  <si>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</si>
  <si>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</si>
  <si>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</si>
  <si>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</si>
  <si>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</si>
  <si>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</si>
  <si>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</si>
  <si>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</si>
  <si>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</si>
  <si>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</si>
  <si>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</si>
  <si>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</si>
  <si>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</si>
  <si>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</si>
  <si>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</si>
  <si>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</si>
  <si>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</si>
  <si>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</si>
  <si>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</si>
  <si>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</si>
  <si>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</si>
  <si>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</si>
  <si>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</si>
  <si>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</si>
  <si>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</si>
  <si>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</si>
  <si>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</si>
  <si>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</si>
  <si>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</si>
  <si>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</si>
  <si>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</si>
  <si>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</si>
  <si>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</si>
  <si>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</si>
  <si>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</si>
  <si>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</si>
  <si>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</si>
  <si>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</si>
  <si>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</si>
  <si>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</si>
  <si>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</si>
  <si>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</si>
  <si>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</si>
  <si>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</si>
  <si>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</si>
  <si>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</si>
  <si>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</si>
  <si>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</si>
  <si>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</si>
  <si>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</si>
  <si>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</si>
  <si>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</si>
  <si>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</si>
  <si>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</si>
  <si>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</si>
  <si>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</si>
  <si>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</si>
  <si>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</si>
  <si>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</si>
  <si>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</si>
  <si>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</si>
  <si>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</si>
  <si>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</si>
  <si>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</si>
  <si>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</si>
  <si>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</si>
  <si>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</si>
  <si>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</si>
  <si>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</si>
  <si>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</si>
  <si>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</si>
  <si>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</si>
  <si>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</si>
  <si>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</si>
  <si>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</si>
  <si>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</si>
  <si>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</si>
  <si>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</si>
  <si>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</si>
  <si>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</si>
  <si>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</si>
  <si>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</si>
  <si>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</si>
  <si>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</si>
  <si>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</si>
  <si>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</si>
  <si>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</si>
  <si>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</si>
  <si>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</si>
  <si>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</si>
  <si>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</si>
  <si>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</si>
  <si>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</si>
  <si>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</si>
  <si>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</si>
  <si>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</si>
  <si>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</si>
  <si>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</si>
  <si>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</si>
  <si>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</si>
  <si>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</si>
  <si>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</si>
  <si>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</si>
  <si>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</si>
  <si>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</si>
  <si>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</si>
  <si>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</si>
  <si>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</si>
  <si>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</si>
  <si>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</si>
  <si>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</si>
  <si>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</si>
  <si>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</si>
  <si>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</si>
  <si>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</si>
  <si>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</si>
  <si>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</si>
  <si>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</si>
  <si>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</si>
  <si>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</si>
  <si>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</si>
  <si>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</si>
  <si>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</si>
  <si>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</si>
  <si>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</si>
  <si>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</si>
  <si>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</si>
  <si>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</si>
  <si>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</si>
  <si>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</si>
  <si>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</si>
  <si>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</si>
  <si>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</si>
  <si>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</si>
  <si>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</si>
  <si>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</si>
  <si>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</si>
  <si>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</si>
  <si>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</si>
  <si>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</si>
  <si>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</si>
  <si>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</si>
  <si>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</si>
  <si>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</si>
  <si>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</si>
  <si>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</si>
  <si>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</si>
  <si>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</si>
  <si>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</si>
  <si>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</si>
  <si>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</si>
  <si>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</si>
  <si>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</si>
  <si>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</si>
  <si>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</si>
  <si>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</si>
  <si>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</si>
  <si>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</si>
  <si>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</si>
  <si>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</si>
  <si>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</si>
  <si>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</si>
  <si>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</si>
  <si>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</si>
  <si>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</si>
  <si>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</si>
  <si>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</si>
  <si>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</si>
  <si>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</si>
  <si>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</si>
  <si>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</si>
  <si>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</si>
  <si>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</si>
  <si>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</si>
  <si>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</si>
  <si>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</si>
  <si>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</si>
  <si>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</si>
  <si>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</si>
  <si>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</si>
  <si>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</si>
  <si>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</si>
  <si>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</si>
  <si>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</si>
  <si>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</si>
  <si>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</si>
  <si>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</si>
  <si>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</si>
  <si>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</si>
  <si>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</si>
  <si>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</si>
  <si>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</si>
  <si>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</si>
  <si>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</si>
  <si>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</si>
  <si>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</si>
  <si>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</si>
  <si>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</si>
  <si>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</si>
  <si>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</si>
  <si>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</si>
  <si>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</si>
  <si>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</si>
  <si>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</si>
  <si>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</si>
  <si>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</si>
  <si>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</si>
  <si>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</si>
  <si>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</si>
  <si>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</si>
  <si>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</si>
  <si>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</si>
  <si>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</si>
  <si>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</si>
  <si>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</si>
  <si>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</si>
  <si>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</si>
  <si>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</si>
  <si>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</si>
  <si>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</si>
  <si>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</si>
  <si>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</si>
  <si>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</si>
  <si>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</si>
  <si>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</si>
  <si>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</si>
  <si>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</si>
  <si>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</si>
  <si>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</si>
  <si>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</si>
  <si>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</si>
  <si>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</si>
  <si>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</si>
  <si>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</si>
  <si>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</si>
  <si>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</si>
  <si>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</si>
  <si>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</si>
  <si>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</si>
  <si>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</si>
  <si>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</si>
  <si>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</si>
  <si>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</si>
  <si>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</si>
  <si>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</si>
  <si>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</si>
  <si>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</si>
  <si>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</si>
  <si>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</si>
  <si>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</si>
  <si>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</si>
  <si>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</si>
  <si>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</si>
  <si>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</si>
  <si>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</si>
  <si>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</si>
  <si>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</si>
  <si>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</si>
  <si>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</si>
  <si>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</si>
  <si>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</si>
  <si>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</si>
  <si>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</si>
  <si>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</si>
  <si>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</si>
  <si>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</si>
  <si>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</si>
  <si>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</si>
  <si>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</si>
  <si>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</si>
  <si>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</si>
  <si>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</si>
  <si>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</si>
  <si>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</si>
  <si>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</si>
  <si>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</si>
  <si>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</si>
  <si>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</si>
  <si>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</si>
  <si>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</si>
  <si>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</si>
  <si>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</si>
  <si>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</si>
  <si>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</si>
  <si>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</si>
  <si>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</si>
  <si>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</si>
  <si>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</si>
  <si>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</si>
  <si>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</si>
  <si>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</si>
  <si>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</si>
  <si>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</si>
  <si>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</si>
  <si>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</si>
  <si>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</si>
  <si>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</si>
  <si>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</si>
  <si>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</si>
  <si>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</si>
  <si>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</si>
  <si>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</si>
  <si>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</si>
  <si>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</si>
  <si>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</si>
  <si>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</si>
  <si>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</si>
  <si>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</si>
  <si>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</si>
  <si>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</si>
  <si>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</si>
  <si>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</si>
  <si>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</si>
  <si>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</si>
  <si>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</si>
  <si>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</si>
  <si>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</si>
  <si>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</si>
  <si>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</si>
  <si>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</si>
  <si>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</si>
  <si>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</si>
  <si>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</si>
  <si>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</si>
  <si>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</si>
  <si>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</si>
  <si>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</si>
  <si>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</si>
  <si>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</si>
  <si>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</si>
  <si>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</si>
  <si>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</si>
  <si>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</si>
  <si>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</si>
  <si>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</si>
  <si>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</si>
  <si>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</si>
  <si>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</si>
  <si>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</si>
  <si>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</si>
  <si>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</si>
  <si>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</si>
  <si>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</si>
  <si>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</si>
  <si>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</si>
  <si>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</si>
  <si>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</si>
  <si>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</si>
  <si>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</si>
  <si>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</si>
  <si>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</si>
  <si>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</si>
  <si>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</si>
  <si>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</si>
  <si>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</si>
  <si>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</si>
  <si>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</si>
  <si>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</si>
  <si>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</si>
  <si>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</si>
  <si>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</si>
  <si>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</si>
  <si>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</si>
  <si>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</si>
  <si>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</si>
  <si>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</si>
  <si>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</si>
  <si>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</si>
  <si>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</si>
  <si>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</si>
  <si>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</si>
  <si>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</si>
  <si>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</si>
  <si>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</si>
  <si>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</si>
  <si>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</si>
  <si>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</si>
  <si>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</si>
  <si>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</si>
  <si>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</si>
  <si>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</si>
  <si>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</si>
  <si>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</si>
  <si>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</si>
  <si>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</si>
  <si>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</si>
  <si>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</si>
  <si>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</si>
  <si>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</si>
  <si>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</si>
  <si>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</si>
  <si>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</si>
  <si>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</si>
  <si>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</si>
  <si>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</si>
  <si>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</si>
  <si>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</si>
  <si>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</si>
  <si>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</si>
  <si>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</si>
  <si>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</si>
  <si>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</si>
  <si>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</si>
  <si>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</si>
  <si>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</si>
  <si>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</si>
  <si>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</si>
  <si>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</si>
  <si>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</si>
  <si>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</si>
  <si>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</si>
  <si>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</si>
  <si>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</si>
  <si>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</si>
  <si>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</si>
  <si>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</si>
  <si>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</si>
  <si>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</si>
  <si>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</si>
  <si>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</si>
  <si>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</si>
  <si>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</si>
  <si>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</si>
  <si>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</si>
  <si>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</si>
  <si>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</si>
  <si>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</si>
  <si>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</si>
  <si>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</si>
  <si>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</si>
  <si>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</si>
  <si>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</si>
  <si>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</si>
  <si>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</si>
  <si>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</si>
  <si>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</si>
  <si>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</si>
  <si>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</si>
  <si>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</si>
  <si>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</si>
  <si>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</si>
  <si>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</si>
  <si>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</si>
  <si>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</si>
  <si>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</si>
  <si>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</si>
  <si>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</si>
  <si>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</si>
  <si>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</si>
  <si>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</si>
  <si>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</si>
  <si>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</si>
  <si>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</si>
  <si>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</si>
  <si>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</si>
  <si>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</si>
  <si>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</si>
  <si>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</si>
  <si>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</si>
  <si>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</si>
  <si>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</si>
  <si>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</si>
  <si>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</si>
  <si>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</si>
  <si>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</si>
  <si>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</si>
  <si>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</si>
  <si>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</si>
  <si>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</si>
  <si>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</si>
  <si>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</si>
  <si>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</si>
  <si>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</si>
  <si>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</si>
  <si>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</si>
  <si>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</si>
  <si>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</si>
  <si>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</si>
  <si>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</si>
  <si>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</si>
  <si>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</si>
  <si>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</si>
  <si>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</si>
  <si>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</si>
  <si>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</si>
  <si>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</si>
  <si>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</si>
  <si>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</si>
  <si>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</si>
  <si>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</si>
  <si>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</si>
  <si>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</si>
  <si>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</si>
  <si>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</si>
  <si>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</si>
  <si>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</si>
  <si>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</si>
  <si>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</si>
  <si>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</si>
  <si>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</si>
  <si>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</si>
  <si>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</si>
  <si>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</si>
  <si>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</si>
  <si>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</si>
  <si>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</si>
  <si>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</si>
  <si>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</si>
  <si>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</si>
  <si>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</si>
  <si>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</si>
  <si>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</si>
  <si>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</si>
  <si>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</si>
  <si>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</si>
  <si>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</si>
  <si>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</si>
  <si>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</si>
  <si>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</si>
  <si>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</si>
  <si>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</si>
  <si>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</si>
  <si>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</si>
  <si>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</si>
  <si>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</si>
  <si>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</si>
  <si>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</si>
  <si>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</si>
  <si>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</si>
  <si>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</si>
  <si>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</si>
  <si>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</si>
  <si>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</si>
  <si>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</si>
  <si>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</si>
  <si>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</si>
  <si>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</si>
  <si>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</si>
  <si>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</si>
  <si>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</si>
  <si>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</si>
  <si>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</si>
  <si>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</si>
  <si>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</si>
  <si>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</si>
  <si>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</si>
  <si>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</si>
  <si>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</si>
  <si>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</si>
  <si>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</si>
  <si>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</si>
  <si>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</si>
  <si>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</si>
  <si>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</si>
  <si>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</si>
  <si>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</si>
  <si>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</si>
  <si>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</si>
  <si>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</si>
  <si>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</si>
  <si>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</si>
  <si>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</si>
  <si>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</si>
  <si>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</si>
  <si>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</si>
  <si>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</si>
  <si>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</si>
  <si>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</si>
  <si>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</si>
  <si>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</si>
  <si>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</si>
  <si>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</si>
  <si>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</si>
  <si>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</si>
  <si>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</si>
  <si>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</si>
  <si>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</si>
  <si>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</si>
  <si>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</si>
  <si>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</si>
  <si>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</si>
  <si>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</si>
  <si>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</si>
  <si>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</si>
  <si>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</si>
  <si>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</si>
  <si>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</si>
  <si>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</si>
  <si>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</si>
  <si>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</si>
  <si>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</si>
  <si>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</si>
  <si>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</si>
  <si>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</si>
  <si>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</si>
  <si>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</si>
  <si>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</si>
  <si>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</si>
  <si>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</si>
  <si>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</si>
  <si>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</si>
  <si>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</si>
  <si>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</si>
  <si>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</si>
  <si>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</si>
  <si>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</si>
  <si>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</si>
  <si>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</si>
  <si>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</si>
  <si>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</si>
  <si>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</si>
  <si>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</si>
  <si>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</si>
  <si>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</si>
  <si>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</si>
  <si>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</si>
  <si>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</si>
  <si>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</si>
  <si>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</si>
  <si>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</si>
  <si>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</si>
  <si>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</si>
  <si>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</si>
  <si>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</si>
  <si>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</si>
  <si>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</si>
  <si>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</si>
  <si>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</si>
  <si>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</si>
  <si>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</si>
  <si>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</si>
  <si>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</si>
  <si>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</si>
  <si>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</si>
  <si>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</si>
  <si>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</si>
  <si>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</si>
  <si>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</si>
  <si>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</si>
  <si>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</si>
  <si>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</si>
  <si>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</si>
  <si>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</si>
  <si>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</si>
  <si>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</si>
  <si>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</si>
  <si>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</si>
  <si>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</si>
  <si>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</si>
  <si>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</si>
  <si>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</si>
  <si>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</si>
  <si>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</si>
  <si>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</si>
  <si>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</si>
  <si>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</si>
  <si>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</si>
  <si>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</si>
  <si>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</si>
  <si>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</si>
  <si>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</si>
  <si>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</si>
  <si>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</si>
  <si>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</si>
  <si>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</si>
  <si>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</si>
  <si>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</si>
  <si>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</si>
  <si>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</si>
  <si>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</si>
  <si>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</si>
  <si>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</si>
  <si>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</si>
  <si>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</si>
  <si>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</si>
  <si>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</si>
  <si>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</si>
  <si>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</si>
  <si>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</si>
  <si>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</si>
  <si>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</si>
  <si>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</si>
  <si>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</si>
  <si>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</si>
  <si>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>Rufo de encontro dos galpões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</si>
  <si>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</si>
  <si>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</si>
  <si>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</si>
  <si>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</si>
  <si>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</si>
  <si>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</si>
  <si>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</si>
  <si>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>SPDA do galpão completo</t>
  </si>
  <si>
    <t>Estrutura drive-in</t>
  </si>
  <si>
    <t>Projeto fundação profunda e cálices</t>
  </si>
  <si>
    <t xml:space="preserve">Projeto Fundação profunda e cálices </t>
  </si>
  <si>
    <t>SPT para dimensionamento de fundação</t>
  </si>
  <si>
    <t>Telhado</t>
  </si>
  <si>
    <t>Diária bomba de concreto - valor por metro bombeado</t>
  </si>
  <si>
    <t>Poço Artesiano para alimentação do alojamento</t>
  </si>
  <si>
    <t>Bomba do poço artesiano</t>
  </si>
  <si>
    <t>Local</t>
  </si>
  <si>
    <t>Sistema de tratamento para esgoto do banheiro</t>
  </si>
  <si>
    <t>pç</t>
  </si>
  <si>
    <t>Armazenamento</t>
  </si>
  <si>
    <t>Meio Fio Padrão Novacap 30x15/12</t>
  </si>
  <si>
    <t>Mão de obra para Fechamento em Alvenaria</t>
  </si>
  <si>
    <t>Análise + Sistema de tratamento para consumo final do poço artesiano</t>
  </si>
  <si>
    <t>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</si>
  <si>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</si>
  <si>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</si>
  <si>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</si>
  <si>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</si>
  <si>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</si>
  <si>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</si>
  <si>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</si>
  <si>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</si>
  <si>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</si>
  <si>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</si>
  <si>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</si>
  <si>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</si>
  <si>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</si>
  <si>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Galpão em estrutura metálica 50 x 40 x 12m - Fechamentos inclusos M.O</t>
  </si>
  <si>
    <t>Frete do material de telhado</t>
  </si>
  <si>
    <t>cx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</si>
  <si>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</si>
  <si>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</si>
  <si>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</si>
  <si>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</si>
  <si>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</si>
  <si>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</si>
  <si>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</si>
  <si>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</si>
  <si>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</si>
  <si>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</si>
  <si>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</si>
  <si>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</si>
  <si>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</si>
  <si>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</si>
  <si>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</si>
  <si>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</si>
  <si>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</si>
  <si>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</si>
  <si>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</si>
  <si>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</si>
  <si>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</si>
  <si>
    <t>Parafuso de fixação telha/terça</t>
  </si>
  <si>
    <t xml:space="preserve">Parafuso de costura telha/telha </t>
  </si>
  <si>
    <t xml:space="preserve">Sondagem SPT após realização do aterro </t>
  </si>
  <si>
    <t xml:space="preserve">Necessário por desencargo de consciência </t>
  </si>
  <si>
    <t xml:space="preserve">Madeirite 2,20 x 1,10m 14mm plastificado 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</si>
  <si>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</si>
  <si>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</si>
  <si>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</si>
  <si>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</si>
  <si>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</si>
  <si>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Luminária Highbay redonda</t>
  </si>
  <si>
    <t xml:space="preserve">Mão de obra para instalação da iluminação </t>
  </si>
  <si>
    <t>Solicitado orçamento a PGN</t>
  </si>
  <si>
    <t>Cumeeiras tp40 0.50mm largura util 980mm galvalume</t>
  </si>
  <si>
    <t>Telha tp40 0.50mm comp 7300mm largura util 980mm galvalume</t>
  </si>
  <si>
    <t>Telhas tp40 0.50mm comp 5600mm largura util 980mm galvalume</t>
  </si>
  <si>
    <t xml:space="preserve">Perfil Enrijecido A/C 150x50x20mm #2mm - Treliças </t>
  </si>
  <si>
    <t xml:space="preserve">Perfil A/C 127x50 #3mm - Treliças </t>
  </si>
  <si>
    <t>Insumo ou Serviço</t>
  </si>
  <si>
    <t>Sala Coordenação</t>
  </si>
  <si>
    <t>Previsão de orçamento para o dia 20</t>
  </si>
  <si>
    <t>Tubo esgoto PVC branco 150mm</t>
  </si>
  <si>
    <t>Joelho esgoto PVC 150mm</t>
  </si>
  <si>
    <t>Luva PVC esgoto 150mm</t>
  </si>
  <si>
    <t>Tubo esgoto PVC branco 250mm</t>
  </si>
  <si>
    <t>Joelho esgoto PVC 250mm</t>
  </si>
  <si>
    <t>Cap esgoto PVC 250mm</t>
  </si>
  <si>
    <t>Te esgoto PVC 250mm Redução para 150mm</t>
  </si>
  <si>
    <t>Drenagem Pluvial</t>
  </si>
  <si>
    <t>Te esgoto PVC 250mm Redução para 150mm (Meio dos galpões)</t>
  </si>
  <si>
    <t>Tubo esgoto PVC branco 250mm (Meio dos galpões)</t>
  </si>
  <si>
    <t>Manta Asfáltica PP Poliéster Tipo II Classe B 4mm 1x10m Impermanta</t>
  </si>
  <si>
    <t>Mão de obra para desmontagem da cobertura de enlonamento de caminhões e lateral do blocado</t>
  </si>
  <si>
    <t>Rufo de acabamento galvanizado 140 x 140 x 20mm #20</t>
  </si>
  <si>
    <t>Rufo de acabamento 140 x 140 x 20mm #20</t>
  </si>
  <si>
    <t xml:space="preserve">Estrutura Porta Pallet </t>
  </si>
  <si>
    <t>Telha TP40 0.50mm comp 4000mm util 980mm galvalume</t>
  </si>
  <si>
    <t>Cobertura frontal das portas</t>
  </si>
  <si>
    <t>Descida das calhas</t>
  </si>
  <si>
    <t>Tubo de coleta das calhas</t>
  </si>
  <si>
    <t>Perfil Enrijecido A/C 150x50x20mm #2mm</t>
  </si>
  <si>
    <t>br</t>
  </si>
  <si>
    <t>Tubulação já existente</t>
  </si>
  <si>
    <t>Mão de obra para montagem da rede de drenagem pluvial</t>
  </si>
  <si>
    <t>Mão de obra para fechamento em alvenaria na parte interna do galpão blocado 1,20m</t>
  </si>
  <si>
    <t>Telha Trapezoidal TP40 6600mm</t>
  </si>
  <si>
    <t>Serviço de instalação das portas automáticas</t>
  </si>
  <si>
    <t>Cabo para instalação das portas automáticas</t>
  </si>
  <si>
    <t xml:space="preserve">Portas automáticas para as docas - Porta Flex. Fast Roll Dock 2,4m (L) x 3m (A) </t>
  </si>
  <si>
    <t>Cabo para instalação das Niveladoras</t>
  </si>
  <si>
    <t xml:space="preserve"> </t>
  </si>
  <si>
    <t>Estrutura Metálica</t>
  </si>
  <si>
    <t>Fechamento das treliças do galpão em chapa galvanizada</t>
  </si>
  <si>
    <t>Cabo PP 4x10mm² Preto (ligação do poço artesiano)</t>
  </si>
  <si>
    <t>Cabo PP 120mm² Preto</t>
  </si>
  <si>
    <t>Cabo PP 50mm² Preto</t>
  </si>
  <si>
    <t>Eletrocalha 100 x 100mm com virola galvanizada</t>
  </si>
  <si>
    <t>Painel 1000x600x300mm A/C</t>
  </si>
  <si>
    <t>Cabo PP 4 x 2.5mm²</t>
  </si>
  <si>
    <t>Frete das rampas niveladoras</t>
  </si>
  <si>
    <t>Preparação x expedição</t>
  </si>
  <si>
    <t>Iluminação galpão</t>
  </si>
  <si>
    <t>Iluminação Galpão</t>
  </si>
  <si>
    <t>Sala provisória para apontamento e coordenação</t>
  </si>
  <si>
    <t>Sala de coordenação e banheiro de funcionários</t>
  </si>
  <si>
    <t>Preço</t>
  </si>
  <si>
    <t>% soma</t>
  </si>
  <si>
    <t>Status</t>
  </si>
  <si>
    <t>DMP</t>
  </si>
  <si>
    <t>Sala de Coordenação</t>
  </si>
  <si>
    <t>DPA IV</t>
  </si>
  <si>
    <t>Reservatório 5000 litros para o alojamento</t>
  </si>
  <si>
    <t xml:space="preserve">Material para estrutura e ligação do reservatório </t>
  </si>
  <si>
    <t>A</t>
  </si>
  <si>
    <t>B</t>
  </si>
  <si>
    <t>C</t>
  </si>
  <si>
    <t>Locação do munck para desmontagem do galpão</t>
  </si>
  <si>
    <t>Locação de plataforma para montagem das coberturas</t>
  </si>
  <si>
    <t>Mão de obra para fechamento em alvenaria e telhas na fachada do galpão DPA IV</t>
  </si>
  <si>
    <t>Realocação da estação de abastecimento de gás das empilhadeiras</t>
  </si>
  <si>
    <t>Combate ao Incêndio</t>
  </si>
  <si>
    <t>Locação de empilhadeira retrátil</t>
  </si>
  <si>
    <t>Retirada de reservatório de água</t>
  </si>
  <si>
    <t>Desmontagem da cobertura de enlonamento</t>
  </si>
  <si>
    <t xml:space="preserve">Grupo Serviço premilinar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</si>
</sst>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  <font>
      <sz val="11"/>
      <color rgb="FF404040"/>
      <name val="Calibri"/>
    </font>
    <font>
      <sz val="11"/>
      <color rgb="FF40404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6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0" xfId="0" applyFont="1" applyBorder="1"/>
    <xf numFmtId="0" fontId="3" fillId="0" borderId="0" xfId="0" applyFont="1" applyBorder="1" applyAlignment="1">
      <alignment horizontal="center"/>
    </xf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/>
    </xf>
    <xf numFmtId="44" fontId="0" fillId="0" borderId="0" xfId="0" applyNumberFormat="1" applyAlignment="1">
      <alignment horizontal="center" vertical="center"/>
    </xf>
    <xf numFmtId="44" fontId="4" fillId="6" borderId="0" xfId="1" applyFont="1" applyFill="1" applyAlignment="1">
      <alignment horizontal="center" vertical="center"/>
    </xf>
    <xf numFmtId="44" fontId="4" fillId="5" borderId="0" xfId="1" applyNumberFormat="1" applyFont="1" applyFill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4" fillId="5" borderId="0" xfId="0" applyFont="1" applyFill="1" applyAlignment="1">
      <alignment vertical="center"/>
    </xf>
    <xf numFmtId="0" fontId="4" fillId="5" borderId="0" xfId="0" applyFon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44" fontId="0" fillId="5" borderId="0" xfId="1" applyFont="1" applyFill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5" borderId="0" xfId="0" applyFont="1" applyFill="1" applyAlignment="1">
      <alignment vertical="center"/>
    </xf>
    <xf numFmtId="0" fontId="3" fillId="5" borderId="0" xfId="0" applyFont="1" applyFill="1" applyAlignment="1">
      <alignment horizontal="center" vertical="center"/>
    </xf>
    <xf numFmtId="0" fontId="4" fillId="6" borderId="0" xfId="0" applyFont="1" applyFill="1" applyAlignment="1">
      <alignment vertical="center"/>
    </xf>
    <xf numFmtId="0" fontId="4" fillId="6" borderId="0" xfId="0" applyFont="1" applyFill="1" applyAlignment="1">
      <alignment horizontal="center" vertical="center"/>
    </xf>
    <xf numFmtId="1" fontId="3" fillId="5" borderId="0" xfId="0" applyNumberFormat="1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44" fontId="0" fillId="0" borderId="0" xfId="1" applyFont="1"/>
    <xf numFmtId="0" fontId="0" fillId="0" borderId="0" xfId="0" applyAlignment="1">
      <alignment horizontal="right"/>
    </xf>
    <xf numFmtId="44" fontId="0" fillId="0" borderId="0" xfId="0" applyNumberFormat="1"/>
    <xf numFmtId="9" fontId="0" fillId="0" borderId="0" xfId="2" applyFont="1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10" fontId="0" fillId="0" borderId="0" xfId="2" applyNumberFormat="1" applyFont="1" applyAlignment="1">
      <alignment horizontal="center"/>
    </xf>
    <xf numFmtId="0" fontId="6" fillId="0" borderId="0" xfId="0" applyFont="1" applyFill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21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3" name="Tabela24" displayName="Tabela24" ref="B1:J98" totalsRowShown="0" headerRowDxfId="20" dataDxfId="19">
  <autoFilter ref="B1:J98"/>
  <sortState ref="B2:J98">
    <sortCondition ref="I1:I98"/>
  </sortState>
  <tableColumns count="9">
    <tableColumn id="1" name="Item" dataDxfId="18" dataCellStyle="Normal"/>
    <tableColumn id="8" name="Local" dataDxfId="17"/>
    <tableColumn id="2" name="Insumo ou Serviço" dataDxfId="16" dataCellStyle="Normal"/>
    <tableColumn id="3" name="Quantidade" dataDxfId="15" dataCellStyle="Normal"/>
    <tableColumn id="4" name="Unidade" dataDxfId="14" dataCellStyle="Normal"/>
    <tableColumn id="5" name="Preço Unitário" dataDxfId="13" dataCellStyle="Moeda"/>
    <tableColumn id="6" name="Preço Total" dataDxfId="12" dataCellStyle="Moeda">
      <calculatedColumnFormula>G2*E2</calculatedColumnFormula>
    </tableColumn>
    <tableColumn id="7" name="Aplicação" dataDxfId="11" dataCellStyle="Normal"/>
    <tableColumn id="11" name="Grupo Serviço premilinar " dataDxfId="1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3:I54" totalsRowShown="0" headerRowDxfId="9" dataDxfId="8">
  <autoFilter ref="B3:I54"/>
  <sortState ref="B4:H53">
    <sortCondition ref="H3:H53"/>
  </sortState>
  <tableColumns count="8">
    <tableColumn id="1" name="Item" dataDxfId="7" dataCellStyle="Normal"/>
    <tableColumn id="2" name="Descrição" dataDxfId="6" dataCellStyle="Normal"/>
    <tableColumn id="3" name="Quantidade" dataDxfId="5" dataCellStyle="Normal"/>
    <tableColumn id="4" name="Unidade" dataDxfId="4" dataCellStyle="Normal"/>
    <tableColumn id="5" name="Preço Unitário" dataDxfId="3" dataCellStyle="Moeda"/>
    <tableColumn id="6" name="Preço Total" dataDxfId="2" dataCellStyle="Moeda">
      <calculatedColumnFormula>F4*D4</calculatedColumnFormula>
    </tableColumn>
    <tableColumn id="7" name="Aplicação" dataDxfId="1" dataCellStyle="Normal"/>
    <tableColumn id="8" name="Grupo Serviço premilinar " dataDxfId="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2" activePane="bottomLeft" state="frozen"/>
      <selection pane="bottomLeft" activeCell="A367" sqref="A367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104"/>
  <sheetViews>
    <sheetView showGridLines="0" tabSelected="1" zoomScale="85" zoomScaleNormal="85" workbookViewId="0">
      <pane ySplit="1" topLeftCell="A2" activePane="bottomLeft" state="frozen"/>
      <selection activeCell="C1" sqref="C1"/>
      <selection pane="bottomLeft" activeCell="A11" sqref="A11"/>
    </sheetView>
  </sheetViews>
  <sheetFormatPr defaultRowHeight="15" x14ac:dyDescent="0.25"/>
  <cols>
    <col min="1" max="1" width="23.85546875" customWidth="1"/>
    <col min="2" max="2" width="9.140625" style="14"/>
    <col min="3" max="3" width="27.7109375" style="14" bestFit="1" customWidth="1"/>
    <col min="4" max="4" width="92" customWidth="1"/>
    <col min="5" max="5" width="16" style="14" bestFit="1" customWidth="1"/>
    <col min="6" max="6" width="13.140625" style="14" bestFit="1" customWidth="1"/>
    <col min="7" max="7" width="18.42578125" style="15" bestFit="1" customWidth="1"/>
    <col min="8" max="8" width="18.42578125" style="15" customWidth="1"/>
    <col min="9" max="9" width="23.85546875" style="14" customWidth="1"/>
    <col min="10" max="10" width="43.7109375" style="14" bestFit="1" customWidth="1"/>
    <col min="11" max="11" width="16.28515625" style="14" customWidth="1"/>
    <col min="12" max="12" width="55.5703125" style="33" customWidth="1"/>
    <col min="13" max="13" width="54.42578125" style="14" customWidth="1"/>
    <col min="14" max="15" width="16" style="14" customWidth="1"/>
  </cols>
  <sheetData>
    <row r="1" spans="2:12" s="15" customFormat="1" ht="27.75" customHeight="1" x14ac:dyDescent="0.25">
      <c r="B1" s="15" t="s">
        <v>753</v>
      </c>
      <c r="C1" s="15" t="s">
        <v>795</v>
      </c>
      <c r="D1" s="15" t="s">
        <v>858</v>
      </c>
      <c r="E1" s="15" t="s">
        <v>755</v>
      </c>
      <c r="F1" s="15" t="s">
        <v>756</v>
      </c>
      <c r="G1" s="15" t="s">
        <v>764</v>
      </c>
      <c r="H1" s="15" t="s">
        <v>765</v>
      </c>
      <c r="I1" s="15" t="s">
        <v>767</v>
      </c>
      <c r="J1" s="15" t="s">
        <v>924</v>
      </c>
    </row>
    <row r="2" spans="2:12" x14ac:dyDescent="0.25">
      <c r="B2" s="17">
        <v>1</v>
      </c>
      <c r="C2" s="17"/>
      <c r="D2" s="19" t="s">
        <v>787</v>
      </c>
      <c r="E2" s="18">
        <v>1</v>
      </c>
      <c r="F2" s="18" t="s">
        <v>760</v>
      </c>
      <c r="G2" s="20"/>
      <c r="H2" s="20">
        <f t="shared" ref="H2:H33" si="0">G2*E2</f>
        <v>0</v>
      </c>
      <c r="I2" s="18" t="s">
        <v>798</v>
      </c>
      <c r="J2" s="39"/>
      <c r="K2" s="39"/>
      <c r="L2" s="33" t="s">
        <v>860</v>
      </c>
    </row>
    <row r="3" spans="2:12" x14ac:dyDescent="0.25">
      <c r="B3" s="17">
        <v>2</v>
      </c>
      <c r="C3" s="17"/>
      <c r="D3" s="22" t="s">
        <v>819</v>
      </c>
      <c r="E3" s="21">
        <v>1</v>
      </c>
      <c r="F3" s="21" t="s">
        <v>760</v>
      </c>
      <c r="G3" s="25">
        <v>486032</v>
      </c>
      <c r="H3" s="25">
        <f t="shared" si="0"/>
        <v>486032</v>
      </c>
      <c r="I3" s="53" t="s">
        <v>920</v>
      </c>
      <c r="J3" s="39"/>
      <c r="K3" s="39"/>
    </row>
    <row r="4" spans="2:12" x14ac:dyDescent="0.25">
      <c r="B4" s="17">
        <v>3</v>
      </c>
      <c r="C4" s="17"/>
      <c r="D4" s="22" t="s">
        <v>821</v>
      </c>
      <c r="E4" s="21">
        <v>1</v>
      </c>
      <c r="F4" s="21" t="s">
        <v>760</v>
      </c>
      <c r="G4" s="25">
        <v>8650</v>
      </c>
      <c r="H4" s="25">
        <f t="shared" si="0"/>
        <v>8650</v>
      </c>
      <c r="I4" s="53" t="s">
        <v>920</v>
      </c>
      <c r="J4" s="39"/>
      <c r="K4" s="39"/>
    </row>
    <row r="5" spans="2:12" x14ac:dyDescent="0.25">
      <c r="B5" s="17">
        <v>4</v>
      </c>
      <c r="C5" s="17"/>
      <c r="D5" s="22" t="s">
        <v>820</v>
      </c>
      <c r="E5" s="21">
        <v>6</v>
      </c>
      <c r="F5" s="21" t="s">
        <v>760</v>
      </c>
      <c r="G5" s="25">
        <v>21938</v>
      </c>
      <c r="H5" s="25">
        <f t="shared" si="0"/>
        <v>131628</v>
      </c>
      <c r="I5" s="21" t="s">
        <v>835</v>
      </c>
      <c r="J5" s="39"/>
      <c r="K5" s="39"/>
    </row>
    <row r="6" spans="2:12" x14ac:dyDescent="0.25">
      <c r="B6" s="17">
        <v>5</v>
      </c>
      <c r="C6" s="17"/>
      <c r="D6" s="22" t="s">
        <v>899</v>
      </c>
      <c r="E6" s="21">
        <v>1</v>
      </c>
      <c r="F6" s="21" t="s">
        <v>760</v>
      </c>
      <c r="G6" s="25">
        <v>11180</v>
      </c>
      <c r="H6" s="25">
        <f t="shared" si="0"/>
        <v>11180</v>
      </c>
      <c r="I6" s="21" t="s">
        <v>835</v>
      </c>
      <c r="J6" s="39"/>
      <c r="K6" s="39"/>
    </row>
    <row r="7" spans="2:12" x14ac:dyDescent="0.25">
      <c r="B7" s="17">
        <v>6</v>
      </c>
      <c r="C7" s="17"/>
      <c r="D7" s="29" t="s">
        <v>889</v>
      </c>
      <c r="E7" s="21">
        <v>250</v>
      </c>
      <c r="F7" s="21" t="s">
        <v>761</v>
      </c>
      <c r="G7" s="25">
        <v>55.57</v>
      </c>
      <c r="H7" s="25">
        <f t="shared" si="0"/>
        <v>13892.5</v>
      </c>
      <c r="I7" s="21" t="s">
        <v>835</v>
      </c>
      <c r="J7" s="39"/>
      <c r="K7" s="39"/>
    </row>
    <row r="8" spans="2:12" x14ac:dyDescent="0.25">
      <c r="B8" s="17">
        <v>7</v>
      </c>
      <c r="C8" s="18"/>
      <c r="D8" s="29" t="s">
        <v>888</v>
      </c>
      <c r="E8" s="30">
        <v>6</v>
      </c>
      <c r="F8" s="30" t="s">
        <v>760</v>
      </c>
      <c r="G8" s="31">
        <v>13855.22</v>
      </c>
      <c r="H8" s="38">
        <f t="shared" si="0"/>
        <v>83131.319999999992</v>
      </c>
      <c r="I8" s="21" t="s">
        <v>835</v>
      </c>
      <c r="J8" s="39"/>
      <c r="K8" s="39"/>
    </row>
    <row r="9" spans="2:12" x14ac:dyDescent="0.25">
      <c r="B9" s="17">
        <v>8</v>
      </c>
      <c r="C9" s="18"/>
      <c r="D9" s="29" t="s">
        <v>886</v>
      </c>
      <c r="E9" s="30">
        <v>1</v>
      </c>
      <c r="F9" s="30" t="s">
        <v>760</v>
      </c>
      <c r="G9" s="31">
        <v>111260.98</v>
      </c>
      <c r="H9" s="38">
        <f t="shared" si="0"/>
        <v>111260.98</v>
      </c>
      <c r="I9" s="21" t="s">
        <v>835</v>
      </c>
      <c r="J9" s="39"/>
      <c r="K9" s="39"/>
    </row>
    <row r="10" spans="2:12" x14ac:dyDescent="0.25">
      <c r="B10" s="17">
        <v>9</v>
      </c>
      <c r="C10" s="18"/>
      <c r="D10" s="29" t="s">
        <v>887</v>
      </c>
      <c r="E10" s="30">
        <v>300</v>
      </c>
      <c r="F10" s="30" t="s">
        <v>761</v>
      </c>
      <c r="G10" s="31">
        <v>55.57</v>
      </c>
      <c r="H10" s="38">
        <f t="shared" si="0"/>
        <v>16671</v>
      </c>
      <c r="I10" s="21" t="s">
        <v>835</v>
      </c>
      <c r="J10" s="39"/>
      <c r="K10" s="39"/>
    </row>
    <row r="11" spans="2:12" x14ac:dyDescent="0.25">
      <c r="B11" s="17">
        <v>10</v>
      </c>
      <c r="C11" s="18"/>
      <c r="D11" s="29" t="s">
        <v>838</v>
      </c>
      <c r="E11" s="30">
        <v>1</v>
      </c>
      <c r="F11" s="30" t="s">
        <v>760</v>
      </c>
      <c r="G11" s="31">
        <v>27412.5</v>
      </c>
      <c r="H11" s="38">
        <f t="shared" si="0"/>
        <v>27412.5</v>
      </c>
      <c r="I11" s="21" t="s">
        <v>835</v>
      </c>
      <c r="J11" s="39"/>
      <c r="K11" s="39"/>
    </row>
    <row r="12" spans="2:12" x14ac:dyDescent="0.25">
      <c r="B12" s="17">
        <v>11</v>
      </c>
      <c r="C12" s="18"/>
      <c r="D12" s="29" t="s">
        <v>757</v>
      </c>
      <c r="E12" s="35">
        <f>(1075*0.15)*1.1</f>
        <v>177.37500000000003</v>
      </c>
      <c r="F12" s="30" t="s">
        <v>759</v>
      </c>
      <c r="G12" s="31">
        <v>670</v>
      </c>
      <c r="H12" s="31">
        <f t="shared" si="0"/>
        <v>118841.25000000001</v>
      </c>
      <c r="I12" s="30" t="s">
        <v>835</v>
      </c>
      <c r="J12" s="39"/>
      <c r="K12" s="39"/>
    </row>
    <row r="13" spans="2:12" x14ac:dyDescent="0.25">
      <c r="B13" s="17">
        <v>12</v>
      </c>
      <c r="C13" s="18"/>
      <c r="D13" s="22" t="s">
        <v>775</v>
      </c>
      <c r="E13" s="35">
        <f>1075/13*2</f>
        <v>165.38461538461539</v>
      </c>
      <c r="F13" s="30" t="s">
        <v>760</v>
      </c>
      <c r="G13" s="31">
        <v>220.5</v>
      </c>
      <c r="H13" s="31">
        <f t="shared" si="0"/>
        <v>36467.307692307695</v>
      </c>
      <c r="I13" s="30" t="s">
        <v>835</v>
      </c>
      <c r="J13" s="39"/>
      <c r="K13" s="39"/>
    </row>
    <row r="14" spans="2:12" x14ac:dyDescent="0.25">
      <c r="B14" s="17">
        <v>13</v>
      </c>
      <c r="C14" s="18"/>
      <c r="D14" s="22" t="s">
        <v>758</v>
      </c>
      <c r="E14" s="35">
        <f>(20*53)/12</f>
        <v>88.333333333333329</v>
      </c>
      <c r="F14" s="30" t="s">
        <v>760</v>
      </c>
      <c r="G14" s="31">
        <v>56.2</v>
      </c>
      <c r="H14" s="31">
        <f t="shared" si="0"/>
        <v>4964.333333333333</v>
      </c>
      <c r="I14" s="30" t="s">
        <v>835</v>
      </c>
      <c r="J14" s="39"/>
      <c r="K14" s="39"/>
    </row>
    <row r="15" spans="2:12" x14ac:dyDescent="0.25">
      <c r="B15" s="17">
        <v>14</v>
      </c>
      <c r="C15" s="18"/>
      <c r="D15" s="22" t="s">
        <v>792</v>
      </c>
      <c r="E15" s="35">
        <f>E12</f>
        <v>177.37500000000003</v>
      </c>
      <c r="F15" s="30" t="s">
        <v>760</v>
      </c>
      <c r="G15" s="31">
        <v>50</v>
      </c>
      <c r="H15" s="31">
        <f t="shared" si="0"/>
        <v>8868.7500000000018</v>
      </c>
      <c r="I15" s="30" t="s">
        <v>835</v>
      </c>
      <c r="J15" s="39"/>
      <c r="K15" s="39"/>
    </row>
    <row r="16" spans="2:12" x14ac:dyDescent="0.25">
      <c r="B16" s="17">
        <v>15</v>
      </c>
      <c r="C16" s="17"/>
      <c r="D16" s="29" t="s">
        <v>839</v>
      </c>
      <c r="E16" s="30">
        <v>1</v>
      </c>
      <c r="F16" s="30" t="s">
        <v>760</v>
      </c>
      <c r="G16" s="31">
        <v>67000</v>
      </c>
      <c r="H16" s="31">
        <f t="shared" si="0"/>
        <v>67000</v>
      </c>
      <c r="I16" s="30" t="s">
        <v>835</v>
      </c>
      <c r="J16" s="39"/>
      <c r="K16" s="39"/>
    </row>
    <row r="17" spans="2:12" x14ac:dyDescent="0.25">
      <c r="B17" s="17">
        <v>16</v>
      </c>
      <c r="C17" s="18"/>
      <c r="D17" s="29" t="s">
        <v>884</v>
      </c>
      <c r="E17" s="30">
        <v>1</v>
      </c>
      <c r="F17" s="30" t="s">
        <v>760</v>
      </c>
      <c r="G17" s="31">
        <v>48600</v>
      </c>
      <c r="H17" s="38">
        <f t="shared" si="0"/>
        <v>48600</v>
      </c>
      <c r="I17" s="30" t="s">
        <v>835</v>
      </c>
      <c r="J17" s="39"/>
      <c r="K17" s="39"/>
    </row>
    <row r="18" spans="2:12" x14ac:dyDescent="0.25">
      <c r="B18" s="17"/>
      <c r="C18" s="18"/>
      <c r="D18" s="29" t="s">
        <v>918</v>
      </c>
      <c r="E18" s="30">
        <v>1</v>
      </c>
      <c r="F18" s="30" t="s">
        <v>760</v>
      </c>
      <c r="G18" s="31">
        <v>48600</v>
      </c>
      <c r="H18" s="38">
        <f t="shared" si="0"/>
        <v>48600</v>
      </c>
      <c r="I18" s="30" t="s">
        <v>835</v>
      </c>
      <c r="J18" s="39"/>
      <c r="K18" s="39"/>
    </row>
    <row r="19" spans="2:12" x14ac:dyDescent="0.25">
      <c r="B19" s="17">
        <v>17</v>
      </c>
      <c r="C19" s="18"/>
      <c r="D19" s="29" t="s">
        <v>885</v>
      </c>
      <c r="E19" s="30">
        <v>50</v>
      </c>
      <c r="F19" s="30" t="s">
        <v>760</v>
      </c>
      <c r="G19" s="31">
        <v>243.39</v>
      </c>
      <c r="H19" s="38">
        <f t="shared" si="0"/>
        <v>12169.5</v>
      </c>
      <c r="I19" s="30" t="s">
        <v>835</v>
      </c>
      <c r="J19" s="39"/>
      <c r="K19" s="39"/>
    </row>
    <row r="20" spans="2:12" x14ac:dyDescent="0.25">
      <c r="B20" s="17">
        <v>18</v>
      </c>
      <c r="C20" s="18"/>
      <c r="D20" s="29" t="s">
        <v>880</v>
      </c>
      <c r="E20" s="30">
        <f>44*4</f>
        <v>176</v>
      </c>
      <c r="F20" s="30" t="s">
        <v>760</v>
      </c>
      <c r="G20" s="31">
        <v>38.119999999999997</v>
      </c>
      <c r="H20" s="38">
        <f t="shared" si="0"/>
        <v>6709.12</v>
      </c>
      <c r="I20" s="30" t="s">
        <v>835</v>
      </c>
      <c r="J20" s="39"/>
      <c r="K20" s="39"/>
    </row>
    <row r="21" spans="2:12" x14ac:dyDescent="0.25">
      <c r="B21" s="17">
        <v>19</v>
      </c>
      <c r="C21" s="18"/>
      <c r="D21" s="29" t="s">
        <v>824</v>
      </c>
      <c r="E21" s="30">
        <v>10</v>
      </c>
      <c r="F21" s="30" t="s">
        <v>760</v>
      </c>
      <c r="G21" s="31">
        <v>24</v>
      </c>
      <c r="H21" s="38">
        <f t="shared" si="0"/>
        <v>240</v>
      </c>
      <c r="I21" s="30" t="s">
        <v>835</v>
      </c>
      <c r="J21" s="39"/>
      <c r="K21" s="39"/>
      <c r="L21" s="33" t="s">
        <v>890</v>
      </c>
    </row>
    <row r="22" spans="2:12" x14ac:dyDescent="0.25">
      <c r="B22" s="17">
        <v>21</v>
      </c>
      <c r="C22" s="18" t="s">
        <v>877</v>
      </c>
      <c r="D22" s="29" t="s">
        <v>876</v>
      </c>
      <c r="E22" s="30">
        <v>36</v>
      </c>
      <c r="F22" s="30" t="s">
        <v>760</v>
      </c>
      <c r="G22" s="31">
        <v>243.39</v>
      </c>
      <c r="H22" s="38">
        <f t="shared" si="0"/>
        <v>8762.0399999999991</v>
      </c>
      <c r="I22" s="30" t="s">
        <v>835</v>
      </c>
      <c r="J22" s="39"/>
      <c r="K22" s="39"/>
    </row>
    <row r="23" spans="2:12" x14ac:dyDescent="0.25">
      <c r="B23" s="17">
        <v>22</v>
      </c>
      <c r="C23" s="18" t="s">
        <v>877</v>
      </c>
      <c r="D23" s="29" t="s">
        <v>856</v>
      </c>
      <c r="E23" s="30">
        <v>72</v>
      </c>
      <c r="F23" s="30" t="s">
        <v>761</v>
      </c>
      <c r="G23" s="31">
        <v>38.119999999999997</v>
      </c>
      <c r="H23" s="38">
        <f t="shared" si="0"/>
        <v>2744.64</v>
      </c>
      <c r="I23" s="30" t="s">
        <v>835</v>
      </c>
      <c r="J23" s="39"/>
      <c r="K23" s="39"/>
    </row>
    <row r="24" spans="2:12" x14ac:dyDescent="0.25">
      <c r="B24" s="17">
        <v>23</v>
      </c>
      <c r="C24" s="18" t="s">
        <v>877</v>
      </c>
      <c r="D24" s="29" t="s">
        <v>778</v>
      </c>
      <c r="E24" s="30">
        <v>36</v>
      </c>
      <c r="F24" s="30" t="s">
        <v>761</v>
      </c>
      <c r="G24" s="31">
        <v>32</v>
      </c>
      <c r="H24" s="38">
        <f t="shared" si="0"/>
        <v>1152</v>
      </c>
      <c r="I24" s="30" t="s">
        <v>835</v>
      </c>
      <c r="J24" s="39"/>
      <c r="K24" s="39"/>
    </row>
    <row r="25" spans="2:12" x14ac:dyDescent="0.25">
      <c r="B25" s="17">
        <v>24</v>
      </c>
      <c r="C25" s="18" t="s">
        <v>877</v>
      </c>
      <c r="D25" s="29" t="s">
        <v>871</v>
      </c>
      <c r="E25" s="30">
        <v>4</v>
      </c>
      <c r="F25" s="30" t="s">
        <v>760</v>
      </c>
      <c r="G25" s="31">
        <v>419</v>
      </c>
      <c r="H25" s="38">
        <f t="shared" si="0"/>
        <v>1676</v>
      </c>
      <c r="I25" s="30" t="s">
        <v>835</v>
      </c>
      <c r="J25" s="39"/>
      <c r="K25" s="39"/>
    </row>
    <row r="26" spans="2:12" x14ac:dyDescent="0.25">
      <c r="B26" s="17">
        <v>25</v>
      </c>
      <c r="C26" s="18" t="s">
        <v>877</v>
      </c>
      <c r="D26" s="29" t="s">
        <v>857</v>
      </c>
      <c r="E26" s="30">
        <f>8*6</f>
        <v>48</v>
      </c>
      <c r="F26" s="30" t="s">
        <v>761</v>
      </c>
      <c r="G26" s="31">
        <v>38.119999999999997</v>
      </c>
      <c r="H26" s="38">
        <f t="shared" si="0"/>
        <v>1829.7599999999998</v>
      </c>
      <c r="I26" s="30" t="s">
        <v>835</v>
      </c>
      <c r="J26" s="39"/>
      <c r="K26" s="39"/>
    </row>
    <row r="27" spans="2:12" x14ac:dyDescent="0.25">
      <c r="B27" s="17">
        <v>26</v>
      </c>
      <c r="C27" s="17"/>
      <c r="D27" s="29" t="s">
        <v>917</v>
      </c>
      <c r="E27" s="30">
        <v>2</v>
      </c>
      <c r="F27" s="30" t="s">
        <v>760</v>
      </c>
      <c r="G27" s="31">
        <v>65000</v>
      </c>
      <c r="H27" s="31">
        <f t="shared" si="0"/>
        <v>130000</v>
      </c>
      <c r="I27" s="30" t="s">
        <v>835</v>
      </c>
      <c r="J27" s="39"/>
      <c r="K27" s="39"/>
    </row>
    <row r="28" spans="2:12" x14ac:dyDescent="0.25">
      <c r="B28" s="17">
        <v>27</v>
      </c>
      <c r="C28" s="17" t="s">
        <v>878</v>
      </c>
      <c r="D28" s="22" t="s">
        <v>861</v>
      </c>
      <c r="E28" s="21">
        <v>58</v>
      </c>
      <c r="F28" s="21" t="s">
        <v>881</v>
      </c>
      <c r="G28" s="25">
        <v>198.72</v>
      </c>
      <c r="H28" s="25">
        <f t="shared" si="0"/>
        <v>11525.76</v>
      </c>
      <c r="I28" s="21" t="s">
        <v>868</v>
      </c>
      <c r="J28" s="39"/>
      <c r="K28" s="39"/>
    </row>
    <row r="29" spans="2:12" x14ac:dyDescent="0.25">
      <c r="B29" s="17">
        <v>28</v>
      </c>
      <c r="C29" s="17" t="s">
        <v>879</v>
      </c>
      <c r="D29" s="22" t="s">
        <v>864</v>
      </c>
      <c r="E29" s="21">
        <v>31</v>
      </c>
      <c r="F29" s="21" t="s">
        <v>881</v>
      </c>
      <c r="G29" s="25">
        <v>484.24</v>
      </c>
      <c r="H29" s="25">
        <f t="shared" si="0"/>
        <v>15011.44</v>
      </c>
      <c r="I29" s="21" t="s">
        <v>868</v>
      </c>
      <c r="J29" s="39"/>
      <c r="K29" s="39"/>
    </row>
    <row r="30" spans="2:12" x14ac:dyDescent="0.25">
      <c r="B30" s="17">
        <v>29</v>
      </c>
      <c r="C30" s="17" t="s">
        <v>879</v>
      </c>
      <c r="D30" s="22" t="s">
        <v>867</v>
      </c>
      <c r="E30" s="21">
        <v>28</v>
      </c>
      <c r="F30" s="21" t="s">
        <v>760</v>
      </c>
      <c r="G30" s="25">
        <v>703.93</v>
      </c>
      <c r="H30" s="25">
        <f t="shared" si="0"/>
        <v>19710.039999999997</v>
      </c>
      <c r="I30" s="21" t="s">
        <v>868</v>
      </c>
      <c r="J30" s="39"/>
      <c r="K30" s="39"/>
    </row>
    <row r="31" spans="2:12" x14ac:dyDescent="0.25">
      <c r="B31" s="17">
        <v>30</v>
      </c>
      <c r="C31" s="17" t="s">
        <v>878</v>
      </c>
      <c r="D31" s="22" t="s">
        <v>862</v>
      </c>
      <c r="E31" s="21">
        <f>28*3</f>
        <v>84</v>
      </c>
      <c r="F31" s="21" t="s">
        <v>760</v>
      </c>
      <c r="G31" s="25">
        <v>49.05</v>
      </c>
      <c r="H31" s="25">
        <f t="shared" si="0"/>
        <v>4120.2</v>
      </c>
      <c r="I31" s="21" t="s">
        <v>868</v>
      </c>
      <c r="J31" s="39"/>
      <c r="K31" s="39"/>
    </row>
    <row r="32" spans="2:12" x14ac:dyDescent="0.25">
      <c r="B32" s="17">
        <v>31</v>
      </c>
      <c r="C32" s="17" t="s">
        <v>879</v>
      </c>
      <c r="D32" s="22" t="s">
        <v>865</v>
      </c>
      <c r="E32" s="21">
        <v>3</v>
      </c>
      <c r="F32" s="21" t="s">
        <v>760</v>
      </c>
      <c r="G32" s="25">
        <v>151.19999999999999</v>
      </c>
      <c r="H32" s="25">
        <f t="shared" si="0"/>
        <v>453.59999999999997</v>
      </c>
      <c r="I32" s="21" t="s">
        <v>868</v>
      </c>
      <c r="J32" s="39"/>
      <c r="K32" s="39"/>
    </row>
    <row r="33" spans="2:12" x14ac:dyDescent="0.25">
      <c r="B33" s="17">
        <v>32</v>
      </c>
      <c r="C33" s="17" t="s">
        <v>879</v>
      </c>
      <c r="D33" s="22" t="s">
        <v>866</v>
      </c>
      <c r="E33" s="21">
        <v>2</v>
      </c>
      <c r="F33" s="21" t="s">
        <v>760</v>
      </c>
      <c r="G33" s="25">
        <v>48.38</v>
      </c>
      <c r="H33" s="25">
        <f t="shared" si="0"/>
        <v>96.76</v>
      </c>
      <c r="I33" s="21" t="s">
        <v>868</v>
      </c>
      <c r="J33" s="39"/>
      <c r="K33" s="39"/>
    </row>
    <row r="34" spans="2:12" x14ac:dyDescent="0.25">
      <c r="B34" s="17">
        <v>33</v>
      </c>
      <c r="C34" s="17" t="s">
        <v>878</v>
      </c>
      <c r="D34" s="22" t="s">
        <v>863</v>
      </c>
      <c r="E34" s="21">
        <v>30</v>
      </c>
      <c r="F34" s="21" t="s">
        <v>760</v>
      </c>
      <c r="G34" s="25">
        <v>27.14</v>
      </c>
      <c r="H34" s="25">
        <f t="shared" ref="H34:H65" si="1">G34*E34</f>
        <v>814.2</v>
      </c>
      <c r="I34" s="21" t="s">
        <v>868</v>
      </c>
      <c r="J34" s="39"/>
      <c r="K34" s="39"/>
    </row>
    <row r="35" spans="2:12" x14ac:dyDescent="0.25">
      <c r="B35" s="17">
        <v>34</v>
      </c>
      <c r="C35" s="17" t="s">
        <v>882</v>
      </c>
      <c r="D35" s="22" t="s">
        <v>869</v>
      </c>
      <c r="E35" s="21">
        <v>12</v>
      </c>
      <c r="F35" s="21" t="s">
        <v>881</v>
      </c>
      <c r="G35" s="25">
        <v>703.93</v>
      </c>
      <c r="H35" s="25">
        <f t="shared" si="1"/>
        <v>8447.16</v>
      </c>
      <c r="I35" s="21" t="s">
        <v>868</v>
      </c>
      <c r="J35" s="39"/>
      <c r="K35" s="39"/>
    </row>
    <row r="36" spans="2:12" x14ac:dyDescent="0.25">
      <c r="B36" s="17">
        <v>35</v>
      </c>
      <c r="C36" s="17" t="s">
        <v>882</v>
      </c>
      <c r="D36" s="22" t="s">
        <v>870</v>
      </c>
      <c r="E36" s="21">
        <f>78/6</f>
        <v>13</v>
      </c>
      <c r="F36" s="21" t="s">
        <v>881</v>
      </c>
      <c r="G36" s="25">
        <v>484.24</v>
      </c>
      <c r="H36" s="25">
        <f t="shared" si="1"/>
        <v>6295.12</v>
      </c>
      <c r="I36" s="21" t="s">
        <v>868</v>
      </c>
      <c r="J36" s="39"/>
      <c r="K36" s="39"/>
    </row>
    <row r="37" spans="2:12" x14ac:dyDescent="0.25">
      <c r="B37" s="17">
        <v>36</v>
      </c>
      <c r="C37" s="18"/>
      <c r="D37" s="29" t="s">
        <v>883</v>
      </c>
      <c r="E37" s="30">
        <v>1</v>
      </c>
      <c r="F37" s="30" t="s">
        <v>760</v>
      </c>
      <c r="G37" s="31">
        <v>37375</v>
      </c>
      <c r="H37" s="38">
        <f t="shared" si="1"/>
        <v>37375</v>
      </c>
      <c r="I37" s="30" t="s">
        <v>868</v>
      </c>
      <c r="J37" s="39"/>
      <c r="K37" s="39"/>
    </row>
    <row r="38" spans="2:12" x14ac:dyDescent="0.25">
      <c r="B38" s="17">
        <v>37</v>
      </c>
      <c r="C38" s="17"/>
      <c r="D38" s="22" t="s">
        <v>805</v>
      </c>
      <c r="E38" s="21">
        <f>54*2</f>
        <v>108</v>
      </c>
      <c r="F38" s="21" t="s">
        <v>760</v>
      </c>
      <c r="G38" s="25">
        <v>243.39</v>
      </c>
      <c r="H38" s="25">
        <f t="shared" si="1"/>
        <v>26286.12</v>
      </c>
      <c r="I38" s="21" t="s">
        <v>806</v>
      </c>
      <c r="J38" s="39"/>
      <c r="K38" s="39"/>
      <c r="L38" s="14"/>
    </row>
    <row r="39" spans="2:12" x14ac:dyDescent="0.25">
      <c r="B39" s="17">
        <v>38</v>
      </c>
      <c r="C39" s="17"/>
      <c r="D39" s="22" t="s">
        <v>807</v>
      </c>
      <c r="E39" s="21">
        <v>30</v>
      </c>
      <c r="F39" s="21" t="s">
        <v>760</v>
      </c>
      <c r="G39" s="25">
        <v>119.7</v>
      </c>
      <c r="H39" s="25">
        <f t="shared" si="1"/>
        <v>3591</v>
      </c>
      <c r="I39" s="21" t="s">
        <v>806</v>
      </c>
      <c r="J39" s="39"/>
      <c r="K39" s="39"/>
    </row>
    <row r="40" spans="2:12" x14ac:dyDescent="0.25">
      <c r="B40" s="17">
        <v>39</v>
      </c>
      <c r="C40" s="17"/>
      <c r="D40" s="22" t="s">
        <v>804</v>
      </c>
      <c r="E40" s="30">
        <v>390</v>
      </c>
      <c r="F40" s="21" t="s">
        <v>761</v>
      </c>
      <c r="G40" s="25">
        <v>38.116666600000002</v>
      </c>
      <c r="H40" s="25">
        <f t="shared" si="1"/>
        <v>14865.499974</v>
      </c>
      <c r="I40" s="21" t="s">
        <v>806</v>
      </c>
      <c r="J40" s="39"/>
      <c r="K40" s="39"/>
    </row>
    <row r="41" spans="2:12" x14ac:dyDescent="0.25">
      <c r="B41" s="17">
        <v>40</v>
      </c>
      <c r="C41" s="17"/>
      <c r="D41" s="22" t="s">
        <v>805</v>
      </c>
      <c r="E41" s="24">
        <f>(84*1.02)*2*1.02</f>
        <v>174.78720000000001</v>
      </c>
      <c r="F41" s="21" t="s">
        <v>760</v>
      </c>
      <c r="G41" s="25">
        <v>243.39</v>
      </c>
      <c r="H41" s="25">
        <f t="shared" si="1"/>
        <v>42541.456608</v>
      </c>
      <c r="I41" s="21" t="s">
        <v>774</v>
      </c>
      <c r="J41" s="39"/>
      <c r="K41" s="39"/>
      <c r="L41" s="14"/>
    </row>
    <row r="42" spans="2:12" x14ac:dyDescent="0.25">
      <c r="B42" s="17">
        <v>41</v>
      </c>
      <c r="C42" s="17"/>
      <c r="D42" s="22" t="s">
        <v>804</v>
      </c>
      <c r="E42" s="21">
        <f>84*7</f>
        <v>588</v>
      </c>
      <c r="F42" s="21" t="s">
        <v>761</v>
      </c>
      <c r="G42" s="25">
        <v>38.116666600000002</v>
      </c>
      <c r="H42" s="25">
        <f t="shared" si="1"/>
        <v>22412.599960800002</v>
      </c>
      <c r="I42" s="21" t="s">
        <v>774</v>
      </c>
      <c r="J42" s="39"/>
      <c r="K42" s="39"/>
    </row>
    <row r="43" spans="2:12" x14ac:dyDescent="0.25">
      <c r="B43" s="17">
        <v>42</v>
      </c>
      <c r="C43" s="17"/>
      <c r="D43" s="22" t="s">
        <v>824</v>
      </c>
      <c r="E43" s="21">
        <v>30</v>
      </c>
      <c r="F43" s="21" t="s">
        <v>818</v>
      </c>
      <c r="G43" s="25">
        <v>24</v>
      </c>
      <c r="H43" s="25">
        <f t="shared" si="1"/>
        <v>720</v>
      </c>
      <c r="I43" s="21" t="s">
        <v>774</v>
      </c>
      <c r="J43" s="39"/>
      <c r="K43" s="39"/>
    </row>
    <row r="44" spans="2:12" x14ac:dyDescent="0.25">
      <c r="B44" s="17">
        <v>43</v>
      </c>
      <c r="C44" s="17"/>
      <c r="D44" s="22" t="s">
        <v>825</v>
      </c>
      <c r="E44" s="21">
        <v>1</v>
      </c>
      <c r="F44" s="21" t="s">
        <v>760</v>
      </c>
      <c r="G44" s="25">
        <v>860</v>
      </c>
      <c r="H44" s="25">
        <f t="shared" si="1"/>
        <v>860</v>
      </c>
      <c r="I44" s="21" t="s">
        <v>774</v>
      </c>
      <c r="J44" s="39"/>
      <c r="K44" s="39"/>
    </row>
    <row r="45" spans="2:12" x14ac:dyDescent="0.25">
      <c r="B45" s="17">
        <v>44</v>
      </c>
      <c r="C45" s="17"/>
      <c r="D45" s="29" t="s">
        <v>873</v>
      </c>
      <c r="E45" s="30">
        <v>140</v>
      </c>
      <c r="F45" s="30" t="s">
        <v>761</v>
      </c>
      <c r="G45" s="31">
        <v>23.90625</v>
      </c>
      <c r="H45" s="31">
        <f t="shared" si="1"/>
        <v>3346.875</v>
      </c>
      <c r="I45" s="30" t="s">
        <v>774</v>
      </c>
      <c r="J45" s="39"/>
      <c r="K45" s="39"/>
    </row>
    <row r="46" spans="2:12" x14ac:dyDescent="0.25">
      <c r="B46" s="17">
        <v>45</v>
      </c>
      <c r="C46" s="17"/>
      <c r="D46" s="29" t="s">
        <v>778</v>
      </c>
      <c r="E46" s="30">
        <v>66</v>
      </c>
      <c r="F46" s="30" t="s">
        <v>761</v>
      </c>
      <c r="G46" s="31">
        <v>26</v>
      </c>
      <c r="H46" s="31">
        <f t="shared" si="1"/>
        <v>1716</v>
      </c>
      <c r="I46" s="30" t="s">
        <v>774</v>
      </c>
      <c r="J46" s="39"/>
      <c r="K46" s="39"/>
    </row>
    <row r="47" spans="2:12" x14ac:dyDescent="0.25">
      <c r="B47" s="17">
        <v>46</v>
      </c>
      <c r="C47" s="17"/>
      <c r="D47" s="29" t="s">
        <v>800</v>
      </c>
      <c r="E47" s="30">
        <v>1</v>
      </c>
      <c r="F47" s="30" t="s">
        <v>760</v>
      </c>
      <c r="G47" s="31">
        <f>7500+7000+6500+10000</f>
        <v>31000</v>
      </c>
      <c r="H47" s="31">
        <f t="shared" si="1"/>
        <v>31000</v>
      </c>
      <c r="I47" s="30" t="s">
        <v>774</v>
      </c>
      <c r="J47" s="39"/>
      <c r="K47" s="39"/>
    </row>
    <row r="48" spans="2:12" x14ac:dyDescent="0.25">
      <c r="B48" s="17">
        <v>47</v>
      </c>
      <c r="C48" s="17"/>
      <c r="D48" s="22" t="s">
        <v>788</v>
      </c>
      <c r="E48" s="21">
        <v>1</v>
      </c>
      <c r="F48" s="21" t="s">
        <v>760</v>
      </c>
      <c r="G48" s="23">
        <v>6000</v>
      </c>
      <c r="H48" s="23">
        <f t="shared" si="1"/>
        <v>6000</v>
      </c>
      <c r="I48" s="21" t="s">
        <v>771</v>
      </c>
      <c r="J48" s="39"/>
      <c r="K48" s="39"/>
    </row>
    <row r="49" spans="2:12" x14ac:dyDescent="0.25">
      <c r="B49" s="17">
        <v>48</v>
      </c>
      <c r="C49" s="17"/>
      <c r="D49" s="22" t="s">
        <v>769</v>
      </c>
      <c r="E49" s="21">
        <v>4100</v>
      </c>
      <c r="F49" s="21" t="s">
        <v>811</v>
      </c>
      <c r="G49" s="23">
        <v>9.65</v>
      </c>
      <c r="H49" s="23">
        <f t="shared" si="1"/>
        <v>39565</v>
      </c>
      <c r="I49" s="21" t="s">
        <v>771</v>
      </c>
      <c r="J49" s="39"/>
      <c r="K49" s="39"/>
    </row>
    <row r="50" spans="2:12" x14ac:dyDescent="0.25">
      <c r="B50" s="17">
        <v>49</v>
      </c>
      <c r="C50" s="17"/>
      <c r="D50" s="22" t="s">
        <v>770</v>
      </c>
      <c r="E50" s="21">
        <v>4000</v>
      </c>
      <c r="F50" s="21" t="s">
        <v>811</v>
      </c>
      <c r="G50" s="23">
        <v>9.65</v>
      </c>
      <c r="H50" s="23">
        <f t="shared" si="1"/>
        <v>38600</v>
      </c>
      <c r="I50" s="21" t="s">
        <v>771</v>
      </c>
      <c r="J50" s="39"/>
      <c r="K50" s="39"/>
      <c r="L50" s="14" t="s">
        <v>812</v>
      </c>
    </row>
    <row r="51" spans="2:12" x14ac:dyDescent="0.25">
      <c r="B51" s="17">
        <v>50</v>
      </c>
      <c r="C51" s="17"/>
      <c r="D51" s="22" t="s">
        <v>803</v>
      </c>
      <c r="E51" s="21">
        <v>1</v>
      </c>
      <c r="F51" s="21" t="s">
        <v>760</v>
      </c>
      <c r="G51" s="23">
        <v>164000</v>
      </c>
      <c r="H51" s="23">
        <f t="shared" si="1"/>
        <v>164000</v>
      </c>
      <c r="I51" s="21" t="s">
        <v>771</v>
      </c>
      <c r="J51" s="39"/>
      <c r="K51" s="39"/>
      <c r="L51" s="14" t="s">
        <v>812</v>
      </c>
    </row>
    <row r="52" spans="2:12" x14ac:dyDescent="0.25">
      <c r="B52" s="17">
        <v>51</v>
      </c>
      <c r="C52" s="17"/>
      <c r="D52" s="22" t="s">
        <v>830</v>
      </c>
      <c r="E52" s="24">
        <v>99.22</v>
      </c>
      <c r="F52" s="21" t="s">
        <v>759</v>
      </c>
      <c r="G52" s="23">
        <v>670</v>
      </c>
      <c r="H52" s="23">
        <f t="shared" si="1"/>
        <v>66477.399999999994</v>
      </c>
      <c r="I52" s="21" t="s">
        <v>771</v>
      </c>
      <c r="J52" s="39"/>
      <c r="K52" s="39"/>
    </row>
    <row r="53" spans="2:12" x14ac:dyDescent="0.25">
      <c r="B53" s="17">
        <v>52</v>
      </c>
      <c r="C53" s="17"/>
      <c r="D53" s="22" t="s">
        <v>829</v>
      </c>
      <c r="E53" s="21">
        <v>68</v>
      </c>
      <c r="F53" s="21" t="s">
        <v>759</v>
      </c>
      <c r="G53" s="23">
        <v>670</v>
      </c>
      <c r="H53" s="23">
        <f t="shared" si="1"/>
        <v>45560</v>
      </c>
      <c r="I53" s="21" t="s">
        <v>771</v>
      </c>
      <c r="J53" s="39"/>
      <c r="K53" s="39"/>
    </row>
    <row r="54" spans="2:12" x14ac:dyDescent="0.25">
      <c r="B54" s="17">
        <v>53</v>
      </c>
      <c r="C54" s="17"/>
      <c r="D54" s="22" t="s">
        <v>808</v>
      </c>
      <c r="E54" s="21">
        <v>1</v>
      </c>
      <c r="F54" s="21" t="s">
        <v>760</v>
      </c>
      <c r="G54" s="23">
        <v>56500</v>
      </c>
      <c r="H54" s="23">
        <f t="shared" si="1"/>
        <v>56500</v>
      </c>
      <c r="I54" s="21" t="s">
        <v>771</v>
      </c>
      <c r="J54" s="39"/>
      <c r="K54" s="39"/>
    </row>
    <row r="55" spans="2:12" x14ac:dyDescent="0.25">
      <c r="B55" s="17">
        <v>54</v>
      </c>
      <c r="C55" s="17"/>
      <c r="D55" s="22" t="s">
        <v>777</v>
      </c>
      <c r="E55" s="21">
        <v>50</v>
      </c>
      <c r="F55" s="21" t="s">
        <v>760</v>
      </c>
      <c r="G55" s="25">
        <v>125</v>
      </c>
      <c r="H55" s="25">
        <f t="shared" si="1"/>
        <v>6250</v>
      </c>
      <c r="I55" s="21" t="s">
        <v>771</v>
      </c>
      <c r="J55" s="39"/>
      <c r="K55" s="39"/>
    </row>
    <row r="56" spans="2:12" x14ac:dyDescent="0.25">
      <c r="B56" s="17">
        <v>55</v>
      </c>
      <c r="C56" s="17"/>
      <c r="D56" s="22" t="s">
        <v>842</v>
      </c>
      <c r="E56" s="21">
        <v>4</v>
      </c>
      <c r="F56" s="21" t="s">
        <v>760</v>
      </c>
      <c r="G56" s="25">
        <v>1500</v>
      </c>
      <c r="H56" s="25">
        <f t="shared" si="1"/>
        <v>6000</v>
      </c>
      <c r="I56" s="21" t="s">
        <v>771</v>
      </c>
      <c r="J56" s="39"/>
      <c r="K56" s="39"/>
    </row>
    <row r="57" spans="2:12" x14ac:dyDescent="0.25">
      <c r="B57" s="17">
        <v>56</v>
      </c>
      <c r="C57" s="17"/>
      <c r="D57" s="29" t="s">
        <v>850</v>
      </c>
      <c r="E57" s="30">
        <v>26</v>
      </c>
      <c r="F57" s="30" t="s">
        <v>760</v>
      </c>
      <c r="G57" s="31">
        <v>420</v>
      </c>
      <c r="H57" s="31">
        <f t="shared" si="1"/>
        <v>10920</v>
      </c>
      <c r="I57" s="21" t="s">
        <v>901</v>
      </c>
      <c r="J57" s="39"/>
      <c r="K57" s="39"/>
      <c r="L57" s="33" t="s">
        <v>843</v>
      </c>
    </row>
    <row r="58" spans="2:12" x14ac:dyDescent="0.25">
      <c r="B58" s="17">
        <v>57</v>
      </c>
      <c r="C58" s="17"/>
      <c r="D58" s="22" t="s">
        <v>898</v>
      </c>
      <c r="E58" s="30">
        <v>400</v>
      </c>
      <c r="F58" s="30" t="s">
        <v>761</v>
      </c>
      <c r="G58" s="31">
        <v>15</v>
      </c>
      <c r="H58" s="31">
        <f t="shared" si="1"/>
        <v>6000</v>
      </c>
      <c r="I58" s="21" t="s">
        <v>901</v>
      </c>
      <c r="J58" s="39"/>
      <c r="K58" s="39"/>
    </row>
    <row r="59" spans="2:12" x14ac:dyDescent="0.25">
      <c r="B59" s="17">
        <v>58</v>
      </c>
      <c r="C59" s="17"/>
      <c r="D59" s="19" t="s">
        <v>851</v>
      </c>
      <c r="E59" s="18"/>
      <c r="F59" s="18" t="s">
        <v>760</v>
      </c>
      <c r="G59" s="34"/>
      <c r="H59" s="34">
        <f t="shared" si="1"/>
        <v>0</v>
      </c>
      <c r="I59" s="17" t="s">
        <v>901</v>
      </c>
      <c r="J59" s="39"/>
      <c r="K59" s="39"/>
    </row>
    <row r="60" spans="2:12" x14ac:dyDescent="0.25">
      <c r="B60" s="17">
        <v>59</v>
      </c>
      <c r="C60" s="17"/>
      <c r="D60" s="29" t="s">
        <v>783</v>
      </c>
      <c r="E60" s="30">
        <v>8</v>
      </c>
      <c r="F60" s="30" t="s">
        <v>760</v>
      </c>
      <c r="G60" s="31">
        <v>380</v>
      </c>
      <c r="H60" s="31">
        <f t="shared" si="1"/>
        <v>3040</v>
      </c>
      <c r="I60" s="30" t="s">
        <v>576</v>
      </c>
      <c r="J60" s="39"/>
      <c r="K60" s="39"/>
    </row>
    <row r="61" spans="2:12" x14ac:dyDescent="0.25">
      <c r="B61" s="17">
        <v>60</v>
      </c>
      <c r="C61" s="17"/>
      <c r="D61" s="29" t="s">
        <v>784</v>
      </c>
      <c r="E61" s="30">
        <v>4</v>
      </c>
      <c r="F61" s="30" t="s">
        <v>760</v>
      </c>
      <c r="G61" s="31">
        <v>290</v>
      </c>
      <c r="H61" s="31">
        <f t="shared" si="1"/>
        <v>1160</v>
      </c>
      <c r="I61" s="30" t="s">
        <v>576</v>
      </c>
      <c r="J61" s="39"/>
      <c r="K61" s="39"/>
    </row>
    <row r="62" spans="2:12" x14ac:dyDescent="0.25">
      <c r="B62" s="17">
        <v>61</v>
      </c>
      <c r="C62" s="17"/>
      <c r="D62" s="29" t="s">
        <v>785</v>
      </c>
      <c r="E62" s="30">
        <v>4</v>
      </c>
      <c r="F62" s="30" t="s">
        <v>760</v>
      </c>
      <c r="G62" s="31">
        <v>290</v>
      </c>
      <c r="H62" s="31">
        <f t="shared" si="1"/>
        <v>1160</v>
      </c>
      <c r="I62" s="30" t="s">
        <v>576</v>
      </c>
      <c r="J62" s="39"/>
      <c r="K62" s="39"/>
    </row>
    <row r="63" spans="2:12" x14ac:dyDescent="0.25">
      <c r="B63" s="17">
        <v>62</v>
      </c>
      <c r="C63" s="17"/>
      <c r="D63" s="22" t="s">
        <v>757</v>
      </c>
      <c r="E63" s="24">
        <f>(2150*1.05)*0.15</f>
        <v>338.625</v>
      </c>
      <c r="F63" s="21" t="s">
        <v>759</v>
      </c>
      <c r="G63" s="23">
        <v>670</v>
      </c>
      <c r="H63" s="23">
        <f t="shared" si="1"/>
        <v>226878.75</v>
      </c>
      <c r="I63" s="21" t="s">
        <v>833</v>
      </c>
      <c r="J63" s="39"/>
      <c r="K63" s="39"/>
    </row>
    <row r="64" spans="2:12" x14ac:dyDescent="0.25">
      <c r="B64" s="17">
        <v>63</v>
      </c>
      <c r="C64" s="17"/>
      <c r="D64" s="22" t="s">
        <v>775</v>
      </c>
      <c r="E64" s="24">
        <f>(2150/13)*2</f>
        <v>330.76923076923077</v>
      </c>
      <c r="F64" s="21" t="s">
        <v>760</v>
      </c>
      <c r="G64" s="23">
        <v>220.5</v>
      </c>
      <c r="H64" s="23">
        <f t="shared" si="1"/>
        <v>72934.61538461539</v>
      </c>
      <c r="I64" s="21" t="s">
        <v>833</v>
      </c>
      <c r="J64" s="39"/>
      <c r="K64" s="39"/>
    </row>
    <row r="65" spans="2:11" x14ac:dyDescent="0.25">
      <c r="B65" s="17">
        <v>64</v>
      </c>
      <c r="C65" s="17"/>
      <c r="D65" s="22" t="s">
        <v>758</v>
      </c>
      <c r="E65" s="21">
        <f>2100/12</f>
        <v>175</v>
      </c>
      <c r="F65" s="21" t="s">
        <v>760</v>
      </c>
      <c r="G65" s="23">
        <v>56.2</v>
      </c>
      <c r="H65" s="23">
        <f t="shared" si="1"/>
        <v>9835</v>
      </c>
      <c r="I65" s="21" t="s">
        <v>833</v>
      </c>
      <c r="J65" s="39"/>
      <c r="K65" s="39"/>
    </row>
    <row r="66" spans="2:11" x14ac:dyDescent="0.25">
      <c r="B66" s="17">
        <v>65</v>
      </c>
      <c r="C66" s="17"/>
      <c r="D66" s="22" t="s">
        <v>762</v>
      </c>
      <c r="E66" s="21">
        <v>1000</v>
      </c>
      <c r="F66" s="21" t="s">
        <v>763</v>
      </c>
      <c r="G66" s="23">
        <v>7.3</v>
      </c>
      <c r="H66" s="23">
        <f t="shared" ref="H66:H97" si="2">G66*E66</f>
        <v>7300</v>
      </c>
      <c r="I66" s="21" t="s">
        <v>833</v>
      </c>
      <c r="J66" s="39"/>
      <c r="K66" s="39"/>
    </row>
    <row r="67" spans="2:11" x14ac:dyDescent="0.25">
      <c r="B67" s="17">
        <v>66</v>
      </c>
      <c r="C67" s="17"/>
      <c r="D67" s="22" t="s">
        <v>792</v>
      </c>
      <c r="E67" s="24">
        <f>E63</f>
        <v>338.625</v>
      </c>
      <c r="F67" s="21" t="s">
        <v>766</v>
      </c>
      <c r="G67" s="23">
        <v>50</v>
      </c>
      <c r="H67" s="23">
        <f t="shared" si="2"/>
        <v>16931.25</v>
      </c>
      <c r="I67" s="21" t="s">
        <v>833</v>
      </c>
      <c r="J67" s="39"/>
      <c r="K67" s="39"/>
    </row>
    <row r="68" spans="2:11" x14ac:dyDescent="0.25">
      <c r="B68" s="17">
        <v>67</v>
      </c>
      <c r="C68" s="17"/>
      <c r="D68" s="22" t="s">
        <v>826</v>
      </c>
      <c r="E68" s="21">
        <v>1</v>
      </c>
      <c r="F68" s="21" t="s">
        <v>760</v>
      </c>
      <c r="G68" s="23">
        <v>53550</v>
      </c>
      <c r="H68" s="23">
        <f t="shared" si="2"/>
        <v>53550</v>
      </c>
      <c r="I68" s="21" t="s">
        <v>833</v>
      </c>
      <c r="J68" s="39"/>
      <c r="K68" s="39"/>
    </row>
    <row r="69" spans="2:11" x14ac:dyDescent="0.25">
      <c r="B69" s="17">
        <v>68</v>
      </c>
      <c r="C69" s="18"/>
      <c r="D69" s="29" t="s">
        <v>799</v>
      </c>
      <c r="E69" s="30">
        <v>110</v>
      </c>
      <c r="F69" s="30" t="s">
        <v>760</v>
      </c>
      <c r="G69" s="31">
        <v>42.29</v>
      </c>
      <c r="H69" s="31">
        <f t="shared" si="2"/>
        <v>4651.8999999999996</v>
      </c>
      <c r="I69" s="30" t="s">
        <v>831</v>
      </c>
      <c r="J69" s="39"/>
      <c r="K69" s="39"/>
    </row>
    <row r="70" spans="2:11" x14ac:dyDescent="0.25">
      <c r="B70" s="17">
        <v>69</v>
      </c>
      <c r="C70" s="18"/>
      <c r="D70" s="29" t="s">
        <v>832</v>
      </c>
      <c r="E70" s="30">
        <v>1</v>
      </c>
      <c r="F70" s="30" t="s">
        <v>760</v>
      </c>
      <c r="G70" s="31">
        <v>1400</v>
      </c>
      <c r="H70" s="31">
        <f t="shared" si="2"/>
        <v>1400</v>
      </c>
      <c r="I70" s="30" t="s">
        <v>831</v>
      </c>
      <c r="J70" s="39"/>
      <c r="K70" s="39"/>
    </row>
    <row r="71" spans="2:11" x14ac:dyDescent="0.25">
      <c r="B71" s="17">
        <v>70</v>
      </c>
      <c r="C71" s="18"/>
      <c r="D71" s="29" t="s">
        <v>757</v>
      </c>
      <c r="E71" s="35">
        <f>((1260+960)*0.15)*1.1</f>
        <v>366.3</v>
      </c>
      <c r="F71" s="30" t="s">
        <v>759</v>
      </c>
      <c r="G71" s="31">
        <v>670</v>
      </c>
      <c r="H71" s="31">
        <f t="shared" si="2"/>
        <v>245421</v>
      </c>
      <c r="I71" s="30" t="s">
        <v>831</v>
      </c>
      <c r="J71" s="39"/>
      <c r="K71" s="39"/>
    </row>
    <row r="72" spans="2:11" x14ac:dyDescent="0.25">
      <c r="B72" s="17">
        <v>71</v>
      </c>
      <c r="C72" s="18"/>
      <c r="D72" s="22" t="s">
        <v>775</v>
      </c>
      <c r="E72" s="35">
        <f>(1260+960)/13*1.05</f>
        <v>179.30769230769232</v>
      </c>
      <c r="F72" s="30" t="s">
        <v>760</v>
      </c>
      <c r="G72" s="31">
        <v>220.5</v>
      </c>
      <c r="H72" s="31">
        <f t="shared" si="2"/>
        <v>39537.346153846156</v>
      </c>
      <c r="I72" s="30" t="s">
        <v>831</v>
      </c>
      <c r="J72" s="39"/>
      <c r="K72" s="39"/>
    </row>
    <row r="73" spans="2:11" x14ac:dyDescent="0.25">
      <c r="B73" s="17">
        <v>72</v>
      </c>
      <c r="C73" s="18"/>
      <c r="D73" s="29" t="s">
        <v>834</v>
      </c>
      <c r="E73" s="30">
        <v>1</v>
      </c>
      <c r="F73" s="30" t="s">
        <v>760</v>
      </c>
      <c r="G73" s="31">
        <v>62525</v>
      </c>
      <c r="H73" s="31">
        <f t="shared" si="2"/>
        <v>62525</v>
      </c>
      <c r="I73" s="30" t="s">
        <v>831</v>
      </c>
      <c r="J73" s="39"/>
      <c r="K73" s="39"/>
    </row>
    <row r="74" spans="2:11" x14ac:dyDescent="0.25">
      <c r="B74" s="17">
        <v>73</v>
      </c>
      <c r="C74" s="17"/>
      <c r="D74" s="22" t="s">
        <v>823</v>
      </c>
      <c r="E74" s="21">
        <v>1</v>
      </c>
      <c r="F74" s="21" t="s">
        <v>760</v>
      </c>
      <c r="G74" s="25">
        <v>24500</v>
      </c>
      <c r="H74" s="25">
        <f t="shared" si="2"/>
        <v>24500</v>
      </c>
      <c r="I74" s="21" t="s">
        <v>772</v>
      </c>
      <c r="J74" s="39"/>
      <c r="K74" s="39"/>
    </row>
    <row r="75" spans="2:11" x14ac:dyDescent="0.25">
      <c r="B75" s="17">
        <v>74</v>
      </c>
      <c r="C75" s="17"/>
      <c r="D75" s="22" t="s">
        <v>773</v>
      </c>
      <c r="E75" s="21">
        <v>1</v>
      </c>
      <c r="F75" s="21" t="s">
        <v>760</v>
      </c>
      <c r="G75" s="23">
        <v>968004</v>
      </c>
      <c r="H75" s="23">
        <f t="shared" si="2"/>
        <v>968004</v>
      </c>
      <c r="I75" s="21" t="s">
        <v>772</v>
      </c>
      <c r="J75" s="39"/>
      <c r="K75" s="39"/>
    </row>
    <row r="76" spans="2:11" x14ac:dyDescent="0.25">
      <c r="B76" s="17">
        <v>75</v>
      </c>
      <c r="C76" s="18"/>
      <c r="D76" s="29" t="s">
        <v>904</v>
      </c>
      <c r="E76" s="30">
        <v>1</v>
      </c>
      <c r="F76" s="30" t="s">
        <v>760</v>
      </c>
      <c r="G76" s="31">
        <v>32000</v>
      </c>
      <c r="H76" s="38">
        <f t="shared" si="2"/>
        <v>32000</v>
      </c>
      <c r="I76" s="30" t="s">
        <v>859</v>
      </c>
      <c r="J76" s="39"/>
      <c r="K76" s="39"/>
    </row>
    <row r="77" spans="2:11" x14ac:dyDescent="0.25">
      <c r="B77" s="17">
        <v>76</v>
      </c>
      <c r="C77" s="18"/>
      <c r="D77" s="29" t="s">
        <v>903</v>
      </c>
      <c r="E77" s="30">
        <v>1</v>
      </c>
      <c r="F77" s="30" t="s">
        <v>760</v>
      </c>
      <c r="G77" s="31">
        <v>10000</v>
      </c>
      <c r="H77" s="38">
        <f t="shared" si="2"/>
        <v>10000</v>
      </c>
      <c r="I77" s="30" t="s">
        <v>859</v>
      </c>
      <c r="J77" s="39"/>
      <c r="K77" s="39"/>
    </row>
    <row r="78" spans="2:11" x14ac:dyDescent="0.25">
      <c r="B78" s="17">
        <v>77</v>
      </c>
      <c r="C78" s="17"/>
      <c r="D78" s="29" t="s">
        <v>793</v>
      </c>
      <c r="E78" s="30">
        <v>1</v>
      </c>
      <c r="F78" s="30" t="s">
        <v>760</v>
      </c>
      <c r="G78" s="31">
        <v>46600</v>
      </c>
      <c r="H78" s="31">
        <f t="shared" si="2"/>
        <v>46600</v>
      </c>
      <c r="I78" s="30" t="s">
        <v>837</v>
      </c>
      <c r="J78" s="65" t="s">
        <v>922</v>
      </c>
      <c r="K78" s="39"/>
    </row>
    <row r="79" spans="2:11" x14ac:dyDescent="0.25">
      <c r="B79" s="17">
        <v>78</v>
      </c>
      <c r="C79" s="17"/>
      <c r="D79" s="29" t="s">
        <v>794</v>
      </c>
      <c r="E79" s="30">
        <v>1</v>
      </c>
      <c r="F79" s="30" t="s">
        <v>760</v>
      </c>
      <c r="G79" s="31">
        <v>8100</v>
      </c>
      <c r="H79" s="31">
        <f t="shared" si="2"/>
        <v>8100</v>
      </c>
      <c r="I79" s="30" t="s">
        <v>837</v>
      </c>
      <c r="J79" s="65" t="s">
        <v>922</v>
      </c>
      <c r="K79" s="39"/>
    </row>
    <row r="80" spans="2:11" x14ac:dyDescent="0.25">
      <c r="B80" s="17">
        <v>79</v>
      </c>
      <c r="C80" s="17"/>
      <c r="D80" s="29" t="s">
        <v>801</v>
      </c>
      <c r="E80" s="30">
        <v>1</v>
      </c>
      <c r="F80" s="30" t="s">
        <v>760</v>
      </c>
      <c r="G80" s="31">
        <v>5000</v>
      </c>
      <c r="H80" s="31">
        <f t="shared" si="2"/>
        <v>5000</v>
      </c>
      <c r="I80" s="30" t="s">
        <v>837</v>
      </c>
      <c r="J80" s="65" t="s">
        <v>922</v>
      </c>
      <c r="K80" s="39"/>
    </row>
    <row r="81" spans="2:12" x14ac:dyDescent="0.25">
      <c r="B81" s="17">
        <v>80</v>
      </c>
      <c r="C81" s="17"/>
      <c r="D81" s="29" t="s">
        <v>872</v>
      </c>
      <c r="E81" s="30">
        <v>1</v>
      </c>
      <c r="F81" s="30" t="s">
        <v>760</v>
      </c>
      <c r="G81" s="31">
        <v>27000</v>
      </c>
      <c r="H81" s="31">
        <f t="shared" si="2"/>
        <v>27000</v>
      </c>
      <c r="I81" s="30" t="s">
        <v>837</v>
      </c>
      <c r="J81" s="65" t="s">
        <v>923</v>
      </c>
      <c r="K81" s="39"/>
    </row>
    <row r="82" spans="2:12" x14ac:dyDescent="0.25">
      <c r="B82" s="17">
        <v>81</v>
      </c>
      <c r="C82" s="17"/>
      <c r="D82" s="29" t="s">
        <v>893</v>
      </c>
      <c r="E82" s="30">
        <v>320</v>
      </c>
      <c r="F82" s="30" t="s">
        <v>761</v>
      </c>
      <c r="G82" s="31">
        <v>16</v>
      </c>
      <c r="H82" s="31">
        <f t="shared" si="2"/>
        <v>5120</v>
      </c>
      <c r="I82" s="30" t="s">
        <v>837</v>
      </c>
      <c r="J82" s="65" t="s">
        <v>922</v>
      </c>
      <c r="K82" s="39"/>
    </row>
    <row r="83" spans="2:12" x14ac:dyDescent="0.25">
      <c r="B83" s="17">
        <v>82</v>
      </c>
      <c r="C83" s="17"/>
      <c r="D83" s="29" t="s">
        <v>911</v>
      </c>
      <c r="E83" s="30">
        <v>1</v>
      </c>
      <c r="F83" s="30" t="s">
        <v>760</v>
      </c>
      <c r="G83" s="31">
        <v>3400</v>
      </c>
      <c r="H83" s="31">
        <f t="shared" si="2"/>
        <v>3400</v>
      </c>
      <c r="I83" s="30" t="s">
        <v>837</v>
      </c>
      <c r="J83" s="65" t="s">
        <v>922</v>
      </c>
      <c r="K83" s="39"/>
    </row>
    <row r="84" spans="2:12" x14ac:dyDescent="0.25">
      <c r="B84" s="17">
        <v>83</v>
      </c>
      <c r="C84" s="17"/>
      <c r="D84" s="29" t="s">
        <v>912</v>
      </c>
      <c r="E84" s="30">
        <v>1</v>
      </c>
      <c r="F84" s="30" t="s">
        <v>760</v>
      </c>
      <c r="G84" s="31">
        <v>8000</v>
      </c>
      <c r="H84" s="31">
        <f t="shared" si="2"/>
        <v>8000</v>
      </c>
      <c r="I84" s="30" t="s">
        <v>837</v>
      </c>
      <c r="J84" s="65" t="s">
        <v>922</v>
      </c>
      <c r="K84" s="39"/>
    </row>
    <row r="85" spans="2:12" x14ac:dyDescent="0.25">
      <c r="B85" s="17">
        <v>84</v>
      </c>
      <c r="C85" s="17"/>
      <c r="D85" s="29" t="s">
        <v>916</v>
      </c>
      <c r="E85" s="30">
        <v>1</v>
      </c>
      <c r="F85" s="30" t="s">
        <v>760</v>
      </c>
      <c r="G85" s="31">
        <v>2500</v>
      </c>
      <c r="H85" s="31">
        <f t="shared" si="2"/>
        <v>2500</v>
      </c>
      <c r="I85" s="30" t="s">
        <v>837</v>
      </c>
      <c r="J85" s="65" t="s">
        <v>923</v>
      </c>
      <c r="K85" s="39"/>
    </row>
    <row r="86" spans="2:12" x14ac:dyDescent="0.25">
      <c r="B86" s="17">
        <v>85</v>
      </c>
      <c r="C86" s="17" t="s">
        <v>900</v>
      </c>
      <c r="D86" s="22" t="s">
        <v>896</v>
      </c>
      <c r="E86" s="35">
        <v>115</v>
      </c>
      <c r="F86" s="30" t="s">
        <v>760</v>
      </c>
      <c r="G86" s="31">
        <v>102</v>
      </c>
      <c r="H86" s="31">
        <f t="shared" si="2"/>
        <v>11730</v>
      </c>
      <c r="I86" s="21" t="s">
        <v>837</v>
      </c>
      <c r="J86" s="65" t="s">
        <v>922</v>
      </c>
      <c r="K86" s="39"/>
    </row>
    <row r="87" spans="2:12" x14ac:dyDescent="0.25">
      <c r="B87" s="17">
        <v>87</v>
      </c>
      <c r="C87" s="17"/>
      <c r="D87" s="22" t="s">
        <v>853</v>
      </c>
      <c r="E87" s="21">
        <v>87</v>
      </c>
      <c r="F87" s="21" t="s">
        <v>760</v>
      </c>
      <c r="G87" s="25">
        <v>34.99</v>
      </c>
      <c r="H87" s="25">
        <f t="shared" si="2"/>
        <v>3044.13</v>
      </c>
      <c r="I87" s="21" t="s">
        <v>791</v>
      </c>
      <c r="J87" s="39"/>
      <c r="K87" s="39"/>
    </row>
    <row r="88" spans="2:12" x14ac:dyDescent="0.25">
      <c r="B88" s="17">
        <v>88</v>
      </c>
      <c r="C88" s="17"/>
      <c r="D88" s="28" t="s">
        <v>854</v>
      </c>
      <c r="E88" s="21">
        <v>174</v>
      </c>
      <c r="F88" s="21" t="s">
        <v>760</v>
      </c>
      <c r="G88" s="25">
        <v>255.5</v>
      </c>
      <c r="H88" s="25">
        <f t="shared" si="2"/>
        <v>44457</v>
      </c>
      <c r="I88" s="21" t="s">
        <v>791</v>
      </c>
      <c r="J88" s="39"/>
      <c r="K88" s="39"/>
    </row>
    <row r="89" spans="2:12" x14ac:dyDescent="0.25">
      <c r="B89" s="17">
        <v>89</v>
      </c>
      <c r="C89" s="17"/>
      <c r="D89" s="22" t="s">
        <v>855</v>
      </c>
      <c r="E89" s="21">
        <v>174</v>
      </c>
      <c r="F89" s="21" t="s">
        <v>760</v>
      </c>
      <c r="G89" s="25">
        <v>196</v>
      </c>
      <c r="H89" s="25">
        <f t="shared" si="2"/>
        <v>34104</v>
      </c>
      <c r="I89" s="21" t="s">
        <v>791</v>
      </c>
      <c r="J89" s="39"/>
      <c r="K89" s="39"/>
    </row>
    <row r="90" spans="2:12" x14ac:dyDescent="0.25">
      <c r="B90" s="17">
        <v>90</v>
      </c>
      <c r="C90" s="17"/>
      <c r="D90" s="28" t="s">
        <v>840</v>
      </c>
      <c r="E90" s="21">
        <v>4700</v>
      </c>
      <c r="F90" s="21" t="s">
        <v>760</v>
      </c>
      <c r="G90" s="25">
        <v>0.5</v>
      </c>
      <c r="H90" s="25">
        <f t="shared" si="2"/>
        <v>2350</v>
      </c>
      <c r="I90" s="21" t="s">
        <v>791</v>
      </c>
      <c r="J90" s="39"/>
      <c r="K90" s="39"/>
    </row>
    <row r="91" spans="2:12" x14ac:dyDescent="0.25">
      <c r="B91" s="17">
        <v>91</v>
      </c>
      <c r="C91" s="17"/>
      <c r="D91" s="22" t="s">
        <v>841</v>
      </c>
      <c r="E91" s="21">
        <v>3200</v>
      </c>
      <c r="F91" s="21" t="s">
        <v>760</v>
      </c>
      <c r="G91" s="25">
        <v>0.5</v>
      </c>
      <c r="H91" s="25">
        <f t="shared" si="2"/>
        <v>1600</v>
      </c>
      <c r="I91" s="21" t="s">
        <v>791</v>
      </c>
      <c r="J91" s="39"/>
      <c r="K91" s="39"/>
    </row>
    <row r="92" spans="2:12" x14ac:dyDescent="0.25">
      <c r="B92" s="17">
        <v>92</v>
      </c>
      <c r="C92" s="17"/>
      <c r="D92" s="22" t="s">
        <v>781</v>
      </c>
      <c r="E92" s="21">
        <v>1</v>
      </c>
      <c r="F92" s="21" t="s">
        <v>760</v>
      </c>
      <c r="G92" s="25">
        <v>908615.35</v>
      </c>
      <c r="H92" s="25">
        <f t="shared" si="2"/>
        <v>908615.35</v>
      </c>
      <c r="I92" s="21" t="s">
        <v>780</v>
      </c>
      <c r="J92" s="39"/>
      <c r="K92" s="39"/>
    </row>
    <row r="93" spans="2:12" x14ac:dyDescent="0.25">
      <c r="B93" s="17">
        <v>93</v>
      </c>
      <c r="C93" s="17" t="s">
        <v>900</v>
      </c>
      <c r="D93" s="29" t="s">
        <v>894</v>
      </c>
      <c r="E93" s="30">
        <v>750</v>
      </c>
      <c r="F93" s="30" t="s">
        <v>761</v>
      </c>
      <c r="G93" s="31">
        <v>124.25</v>
      </c>
      <c r="H93" s="31">
        <f t="shared" si="2"/>
        <v>93187.5</v>
      </c>
      <c r="I93" s="30" t="s">
        <v>836</v>
      </c>
      <c r="J93" s="39"/>
      <c r="K93" s="39"/>
    </row>
    <row r="94" spans="2:12" x14ac:dyDescent="0.25">
      <c r="B94" s="17">
        <v>94</v>
      </c>
      <c r="C94" s="17" t="s">
        <v>900</v>
      </c>
      <c r="D94" s="29" t="s">
        <v>895</v>
      </c>
      <c r="E94" s="30">
        <v>250</v>
      </c>
      <c r="F94" s="30" t="s">
        <v>761</v>
      </c>
      <c r="G94" s="31">
        <v>55.57</v>
      </c>
      <c r="H94" s="31">
        <f t="shared" si="2"/>
        <v>13892.5</v>
      </c>
      <c r="I94" s="30" t="s">
        <v>836</v>
      </c>
      <c r="J94" s="39"/>
      <c r="K94" s="39"/>
    </row>
    <row r="95" spans="2:12" x14ac:dyDescent="0.25">
      <c r="B95" s="17">
        <v>95</v>
      </c>
      <c r="C95" s="17"/>
      <c r="D95" s="29" t="s">
        <v>897</v>
      </c>
      <c r="E95" s="30">
        <v>1</v>
      </c>
      <c r="F95" s="30" t="s">
        <v>760</v>
      </c>
      <c r="G95" s="31">
        <v>4430</v>
      </c>
      <c r="H95" s="31">
        <f t="shared" si="2"/>
        <v>4430</v>
      </c>
      <c r="I95" s="30" t="s">
        <v>836</v>
      </c>
      <c r="J95" s="39"/>
      <c r="K95" s="39"/>
    </row>
    <row r="96" spans="2:12" x14ac:dyDescent="0.25">
      <c r="B96" s="17">
        <v>96</v>
      </c>
      <c r="C96" s="17"/>
      <c r="D96" s="29" t="s">
        <v>796</v>
      </c>
      <c r="E96" s="30">
        <v>1</v>
      </c>
      <c r="F96" s="30" t="s">
        <v>760</v>
      </c>
      <c r="G96" s="31">
        <v>670000</v>
      </c>
      <c r="H96" s="31">
        <f t="shared" si="2"/>
        <v>670000</v>
      </c>
      <c r="I96" s="30" t="s">
        <v>836</v>
      </c>
      <c r="J96" s="39"/>
      <c r="K96" s="39"/>
      <c r="L96" s="14"/>
    </row>
    <row r="97" spans="2:12" x14ac:dyDescent="0.25">
      <c r="B97" s="17">
        <v>97</v>
      </c>
      <c r="C97" s="17"/>
      <c r="D97" s="29" t="s">
        <v>827</v>
      </c>
      <c r="E97" s="35">
        <f>8*4.2*0.35</f>
        <v>11.76</v>
      </c>
      <c r="F97" s="30" t="s">
        <v>759</v>
      </c>
      <c r="G97" s="31">
        <v>670</v>
      </c>
      <c r="H97" s="31">
        <f t="shared" si="2"/>
        <v>7879.2</v>
      </c>
      <c r="I97" s="30" t="s">
        <v>836</v>
      </c>
      <c r="J97" s="39"/>
      <c r="K97" s="39"/>
    </row>
    <row r="98" spans="2:12" x14ac:dyDescent="0.25">
      <c r="B98" s="17">
        <v>98</v>
      </c>
      <c r="C98" s="17"/>
      <c r="D98" s="29" t="s">
        <v>828</v>
      </c>
      <c r="E98" s="30">
        <v>600</v>
      </c>
      <c r="F98" s="30" t="s">
        <v>811</v>
      </c>
      <c r="G98" s="31">
        <v>9.99</v>
      </c>
      <c r="H98" s="31">
        <f t="shared" ref="H98" si="3">G98*E98</f>
        <v>5994</v>
      </c>
      <c r="I98" s="30" t="s">
        <v>836</v>
      </c>
      <c r="J98" s="39"/>
      <c r="K98" s="39"/>
      <c r="L98" s="14" t="s">
        <v>812</v>
      </c>
    </row>
    <row r="99" spans="2:12" x14ac:dyDescent="0.25">
      <c r="B99" s="18"/>
      <c r="C99" s="18"/>
      <c r="D99" s="19"/>
      <c r="E99" s="18"/>
      <c r="F99" s="18"/>
      <c r="G99" s="20"/>
      <c r="H99" s="32"/>
      <c r="I99" s="18"/>
      <c r="J99" s="39"/>
      <c r="K99" s="39"/>
    </row>
    <row r="100" spans="2:12" x14ac:dyDescent="0.25">
      <c r="D100" s="26"/>
      <c r="E100" s="27"/>
      <c r="F100" s="27"/>
      <c r="H100" s="16">
        <f>SUM(Tabela24[Preço Total])</f>
        <v>5773376.7741069021</v>
      </c>
    </row>
    <row r="101" spans="2:12" x14ac:dyDescent="0.25">
      <c r="D101" s="40"/>
      <c r="E101" s="41"/>
      <c r="F101" s="41"/>
    </row>
    <row r="104" spans="2:12" x14ac:dyDescent="0.25">
      <c r="H104" s="3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G22"/>
  <sheetViews>
    <sheetView workbookViewId="0">
      <selection activeCell="D29" sqref="D29"/>
    </sheetView>
  </sheetViews>
  <sheetFormatPr defaultRowHeight="15" x14ac:dyDescent="0.25"/>
  <cols>
    <col min="3" max="3" width="23.7109375" style="33" customWidth="1"/>
    <col min="4" max="4" width="23.7109375" customWidth="1"/>
    <col min="5" max="7" width="12.7109375" customWidth="1"/>
    <col min="8" max="8" width="13.28515625" customWidth="1"/>
  </cols>
  <sheetData>
    <row r="2" spans="3:7" x14ac:dyDescent="0.25">
      <c r="C2" s="59" t="s">
        <v>910</v>
      </c>
      <c r="D2" s="60">
        <f>'DPA IV'!H100</f>
        <v>5773376.7741069021</v>
      </c>
    </row>
    <row r="3" spans="3:7" x14ac:dyDescent="0.25">
      <c r="D3" s="60"/>
    </row>
    <row r="4" spans="3:7" s="14" customFormat="1" x14ac:dyDescent="0.25">
      <c r="C4" s="33" t="s">
        <v>767</v>
      </c>
      <c r="D4" s="14" t="s">
        <v>905</v>
      </c>
      <c r="E4" s="14" t="s">
        <v>802</v>
      </c>
      <c r="F4" s="14" t="s">
        <v>906</v>
      </c>
      <c r="G4" s="14" t="s">
        <v>907</v>
      </c>
    </row>
    <row r="5" spans="3:7" x14ac:dyDescent="0.25">
      <c r="C5" s="33" t="s">
        <v>772</v>
      </c>
      <c r="D5" s="58">
        <f>SUMIF(Tabela24[Aplicação],"Pré Moldado",Tabela24[Preço Total])</f>
        <v>992504</v>
      </c>
      <c r="E5" s="64">
        <f t="shared" ref="E5:E21" si="0">D5/$D$2</f>
        <v>0.17191048477059301</v>
      </c>
      <c r="F5" s="14"/>
      <c r="G5" s="14"/>
    </row>
    <row r="6" spans="3:7" x14ac:dyDescent="0.25">
      <c r="C6" s="33" t="s">
        <v>780</v>
      </c>
      <c r="D6" s="58">
        <f>SUMIF(Tabela24[Aplicação],"Terraplanagem",Tabela24[Preço Total])</f>
        <v>908615.35</v>
      </c>
      <c r="E6" s="64">
        <f t="shared" si="0"/>
        <v>0.15738022747364447</v>
      </c>
      <c r="F6" s="14"/>
      <c r="G6" s="14"/>
    </row>
    <row r="7" spans="3:7" x14ac:dyDescent="0.25">
      <c r="C7" s="33" t="s">
        <v>835</v>
      </c>
      <c r="D7" s="58">
        <f>SUMIF(Tabela24[Aplicação],"Docas de Carregamento",Tabela24[Preço Total])</f>
        <v>893801.0010256411</v>
      </c>
      <c r="E7" s="64">
        <f t="shared" si="0"/>
        <v>0.1548142510002572</v>
      </c>
      <c r="F7" s="61"/>
      <c r="G7" s="14"/>
    </row>
    <row r="8" spans="3:7" x14ac:dyDescent="0.25">
      <c r="C8" s="33" t="s">
        <v>836</v>
      </c>
      <c r="D8" s="58">
        <f>SUMIF(Tabela24[Aplicação],"Tratamento de Esgoto",Tabela24[Preço Total])</f>
        <v>795383.2</v>
      </c>
      <c r="E8" s="64">
        <f t="shared" si="0"/>
        <v>0.13776741604102907</v>
      </c>
      <c r="F8" s="14"/>
      <c r="G8" s="14"/>
    </row>
    <row r="9" spans="3:7" x14ac:dyDescent="0.25">
      <c r="C9" s="33" t="s">
        <v>779</v>
      </c>
      <c r="D9" s="58">
        <f>SUMIF(Tabela24[Aplicação],"AVCB",Tabela24[Preço Total])</f>
        <v>0</v>
      </c>
      <c r="E9" s="64">
        <f t="shared" si="0"/>
        <v>0</v>
      </c>
      <c r="F9" s="61"/>
      <c r="G9" s="14"/>
    </row>
    <row r="10" spans="3:7" x14ac:dyDescent="0.25">
      <c r="C10" s="33" t="s">
        <v>771</v>
      </c>
      <c r="D10" s="58">
        <f>SUMIF(Tabela24[Aplicação],"Fundação",Tabela24[Preço Total])</f>
        <v>428952.4</v>
      </c>
      <c r="E10" s="64">
        <f t="shared" si="0"/>
        <v>7.4298355500339877E-2</v>
      </c>
      <c r="F10" s="61"/>
      <c r="G10" s="14"/>
    </row>
    <row r="11" spans="3:7" x14ac:dyDescent="0.25">
      <c r="C11" s="33" t="s">
        <v>833</v>
      </c>
      <c r="D11" s="58">
        <f>SUMIF(Tabela24[Aplicação],"Piso Galpão DPA IV",Tabela24[Preço Total])</f>
        <v>387429.61538461538</v>
      </c>
      <c r="E11" s="64">
        <f t="shared" si="0"/>
        <v>6.7106241380642931E-2</v>
      </c>
      <c r="F11" s="61"/>
      <c r="G11" s="14"/>
    </row>
    <row r="12" spans="3:7" x14ac:dyDescent="0.25">
      <c r="C12" s="33" t="s">
        <v>831</v>
      </c>
      <c r="D12" s="58">
        <f>SUMIF(Tabela24[Aplicação],"Piso Pátio de Manobra",Tabela24[Preço Total])</f>
        <v>353535.24615384615</v>
      </c>
      <c r="E12" s="64">
        <f t="shared" si="0"/>
        <v>6.1235436380909919E-2</v>
      </c>
      <c r="F12" s="14"/>
      <c r="G12" s="14"/>
    </row>
    <row r="13" spans="3:7" x14ac:dyDescent="0.25">
      <c r="C13" s="33" t="s">
        <v>837</v>
      </c>
      <c r="D13" s="58">
        <f>SUMIF(Tabela24[Aplicação],"Serviço Preliminar",Tabela24[Preço Total])</f>
        <v>117450</v>
      </c>
      <c r="E13" s="64">
        <f t="shared" si="0"/>
        <v>2.0343380415903764E-2</v>
      </c>
      <c r="F13" s="14"/>
      <c r="G13" s="14"/>
    </row>
    <row r="14" spans="3:7" x14ac:dyDescent="0.25">
      <c r="C14" s="33" t="s">
        <v>868</v>
      </c>
      <c r="D14" s="58">
        <f>SUMIF(Tabela24[Aplicação],"Drenagem Pluvial",Tabela24[Preço Total])</f>
        <v>103849.27999999998</v>
      </c>
      <c r="E14" s="64">
        <f t="shared" si="0"/>
        <v>1.7987615231653521E-2</v>
      </c>
      <c r="F14" s="61"/>
      <c r="G14" s="14"/>
    </row>
    <row r="15" spans="3:7" x14ac:dyDescent="0.25">
      <c r="C15" s="33" t="s">
        <v>774</v>
      </c>
      <c r="D15" s="58">
        <f>SUMIF(Tabela24[Aplicação],"Fechamento Lateral",Tabela24[Preço Total])</f>
        <v>102596.93156880001</v>
      </c>
      <c r="E15" s="64">
        <f t="shared" si="0"/>
        <v>1.7770697389600212E-2</v>
      </c>
      <c r="F15" s="61"/>
      <c r="G15" s="14"/>
    </row>
    <row r="16" spans="3:7" x14ac:dyDescent="0.25">
      <c r="C16" s="33" t="s">
        <v>791</v>
      </c>
      <c r="D16" s="58">
        <f>SUMIF(Tabela24[Aplicação],"Telhado",Tabela24[Preço Total])</f>
        <v>85555.13</v>
      </c>
      <c r="E16" s="64">
        <f t="shared" si="0"/>
        <v>1.4818906395249899E-2</v>
      </c>
      <c r="F16" s="14"/>
      <c r="G16" s="14"/>
    </row>
    <row r="17" spans="3:7" x14ac:dyDescent="0.25">
      <c r="C17" s="33" t="s">
        <v>806</v>
      </c>
      <c r="D17" s="58">
        <f>SUMIF(Tabela24[Aplicação],"Fechamento Frontal",Tabela24[Preço Total])</f>
        <v>44742.619974000001</v>
      </c>
      <c r="E17" s="64">
        <f t="shared" si="0"/>
        <v>7.74981812631159E-3</v>
      </c>
      <c r="F17" s="61"/>
      <c r="G17" s="14"/>
    </row>
    <row r="18" spans="3:7" x14ac:dyDescent="0.25">
      <c r="C18" s="33" t="s">
        <v>909</v>
      </c>
      <c r="D18" s="58">
        <f>SUMIF(Tabela24[Aplicação],"Sala Coordenação",Tabela24[Preço Total])</f>
        <v>42000</v>
      </c>
      <c r="E18" s="64">
        <f t="shared" si="0"/>
        <v>7.2747720516641813E-3</v>
      </c>
      <c r="F18" s="14"/>
      <c r="G18" s="14"/>
    </row>
    <row r="19" spans="3:7" x14ac:dyDescent="0.25">
      <c r="C19" s="33" t="s">
        <v>902</v>
      </c>
      <c r="D19" s="58">
        <f>SUMIF(Tabela24[Aplicação],"Iluminação Galpão",Tabela24[Preço Total])</f>
        <v>16920</v>
      </c>
      <c r="E19" s="64">
        <f t="shared" si="0"/>
        <v>2.9306938836704275E-3</v>
      </c>
      <c r="F19" s="61"/>
      <c r="G19" s="14"/>
    </row>
    <row r="20" spans="3:7" x14ac:dyDescent="0.25">
      <c r="C20" s="33" t="s">
        <v>576</v>
      </c>
      <c r="D20" s="58">
        <f>SUMIF(Tabela24[Aplicação],"Pintura",Tabela24[Preço Total])</f>
        <v>5360</v>
      </c>
      <c r="E20" s="64">
        <f t="shared" si="0"/>
        <v>9.2839948087904784E-4</v>
      </c>
      <c r="F20" s="61"/>
      <c r="G20" s="14"/>
    </row>
    <row r="21" spans="3:7" x14ac:dyDescent="0.25">
      <c r="C21" s="33" t="s">
        <v>798</v>
      </c>
      <c r="D21" s="58">
        <f>SUMIF(Tabela24[Aplicação],"Armazenamento",Tabela24[Preço Total])</f>
        <v>0</v>
      </c>
      <c r="E21" s="64">
        <f t="shared" si="0"/>
        <v>0</v>
      </c>
      <c r="F21" s="14"/>
      <c r="G21" s="14"/>
    </row>
    <row r="22" spans="3:7" x14ac:dyDescent="0.25">
      <c r="E22" s="14"/>
      <c r="F22" s="14"/>
      <c r="G22" s="14"/>
    </row>
  </sheetData>
  <autoFilter ref="C4:G4">
    <sortState ref="C5:G22">
      <sortCondition descending="1" ref="E4"/>
    </sortState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83"/>
  <sheetViews>
    <sheetView showGridLines="0" zoomScale="85" zoomScaleNormal="85" workbookViewId="0">
      <selection activeCell="I3" sqref="I3"/>
    </sheetView>
  </sheetViews>
  <sheetFormatPr defaultRowHeight="15" x14ac:dyDescent="0.25"/>
  <cols>
    <col min="1" max="1" width="36.28515625" style="47" customWidth="1"/>
    <col min="2" max="2" width="13.28515625" style="15" customWidth="1"/>
    <col min="3" max="3" width="101.42578125" style="47" customWidth="1"/>
    <col min="4" max="4" width="13.5703125" style="15" customWidth="1"/>
    <col min="5" max="5" width="10.7109375" style="15" customWidth="1"/>
    <col min="6" max="6" width="17.28515625" style="15" customWidth="1"/>
    <col min="7" max="7" width="18.28515625" style="15" customWidth="1"/>
    <col min="8" max="8" width="27.42578125" style="15" bestFit="1" customWidth="1"/>
    <col min="9" max="9" width="66.140625" style="15" bestFit="1" customWidth="1"/>
    <col min="10" max="10" width="67.28515625" style="15" customWidth="1"/>
    <col min="11" max="16384" width="9.140625" style="47"/>
  </cols>
  <sheetData>
    <row r="3" spans="2:10" s="15" customFormat="1" x14ac:dyDescent="0.25">
      <c r="B3" s="15" t="s">
        <v>753</v>
      </c>
      <c r="C3" s="47" t="s">
        <v>754</v>
      </c>
      <c r="D3" s="15" t="s">
        <v>755</v>
      </c>
      <c r="E3" s="15" t="s">
        <v>756</v>
      </c>
      <c r="F3" s="15" t="s">
        <v>764</v>
      </c>
      <c r="G3" s="15" t="s">
        <v>765</v>
      </c>
      <c r="H3" s="15" t="s">
        <v>767</v>
      </c>
      <c r="I3" s="15" t="s">
        <v>924</v>
      </c>
    </row>
    <row r="4" spans="2:10" s="15" customFormat="1" x14ac:dyDescent="0.25">
      <c r="B4" s="48">
        <v>1</v>
      </c>
      <c r="C4" s="49" t="s">
        <v>875</v>
      </c>
      <c r="D4" s="50">
        <v>1</v>
      </c>
      <c r="E4" s="50" t="s">
        <v>760</v>
      </c>
      <c r="F4" s="20"/>
      <c r="G4" s="20">
        <f t="shared" ref="G4:G18" si="0">F4*D4</f>
        <v>0</v>
      </c>
      <c r="H4" s="50" t="s">
        <v>798</v>
      </c>
      <c r="I4" s="48"/>
      <c r="J4" s="51" t="s">
        <v>860</v>
      </c>
    </row>
    <row r="5" spans="2:10" x14ac:dyDescent="0.25">
      <c r="B5" s="48">
        <v>2</v>
      </c>
      <c r="C5" s="52" t="s">
        <v>776</v>
      </c>
      <c r="D5" s="53">
        <v>1</v>
      </c>
      <c r="E5" s="53" t="s">
        <v>760</v>
      </c>
      <c r="F5" s="25">
        <f>212518+208594</f>
        <v>421112</v>
      </c>
      <c r="G5" s="25">
        <f t="shared" si="0"/>
        <v>421112</v>
      </c>
      <c r="H5" s="53" t="s">
        <v>920</v>
      </c>
      <c r="I5" s="48"/>
    </row>
    <row r="6" spans="2:10" x14ac:dyDescent="0.25">
      <c r="B6" s="48">
        <v>3</v>
      </c>
      <c r="C6" s="52" t="s">
        <v>822</v>
      </c>
      <c r="D6" s="53">
        <v>1</v>
      </c>
      <c r="E6" s="53" t="s">
        <v>760</v>
      </c>
      <c r="F6" s="25">
        <v>6650</v>
      </c>
      <c r="G6" s="25">
        <f t="shared" si="0"/>
        <v>6650</v>
      </c>
      <c r="H6" s="53" t="s">
        <v>920</v>
      </c>
      <c r="I6" s="48"/>
    </row>
    <row r="7" spans="2:10" x14ac:dyDescent="0.25">
      <c r="B7" s="48">
        <v>4</v>
      </c>
      <c r="C7" s="52" t="s">
        <v>861</v>
      </c>
      <c r="D7" s="53">
        <v>10</v>
      </c>
      <c r="E7" s="53" t="s">
        <v>881</v>
      </c>
      <c r="F7" s="25">
        <v>198.72</v>
      </c>
      <c r="G7" s="25">
        <f t="shared" si="0"/>
        <v>1987.2</v>
      </c>
      <c r="H7" s="53" t="s">
        <v>868</v>
      </c>
      <c r="I7" s="48"/>
    </row>
    <row r="8" spans="2:10" x14ac:dyDescent="0.25">
      <c r="B8" s="48">
        <v>5</v>
      </c>
      <c r="C8" s="52" t="s">
        <v>864</v>
      </c>
      <c r="D8" s="53">
        <v>25</v>
      </c>
      <c r="E8" s="53" t="s">
        <v>881</v>
      </c>
      <c r="F8" s="25">
        <v>484.24</v>
      </c>
      <c r="G8" s="25">
        <f t="shared" si="0"/>
        <v>12106</v>
      </c>
      <c r="H8" s="53" t="s">
        <v>868</v>
      </c>
      <c r="I8" s="48"/>
    </row>
    <row r="9" spans="2:10" x14ac:dyDescent="0.25">
      <c r="B9" s="48">
        <v>6</v>
      </c>
      <c r="C9" s="52" t="s">
        <v>867</v>
      </c>
      <c r="D9" s="53">
        <v>8</v>
      </c>
      <c r="E9" s="53" t="s">
        <v>760</v>
      </c>
      <c r="F9" s="25">
        <v>703.93</v>
      </c>
      <c r="G9" s="25">
        <f t="shared" si="0"/>
        <v>5631.44</v>
      </c>
      <c r="H9" s="53" t="s">
        <v>868</v>
      </c>
      <c r="I9" s="48"/>
    </row>
    <row r="10" spans="2:10" x14ac:dyDescent="0.25">
      <c r="B10" s="48">
        <v>7</v>
      </c>
      <c r="C10" s="52" t="s">
        <v>862</v>
      </c>
      <c r="D10" s="53">
        <v>24</v>
      </c>
      <c r="E10" s="53" t="s">
        <v>760</v>
      </c>
      <c r="F10" s="25">
        <v>49.05</v>
      </c>
      <c r="G10" s="25">
        <f t="shared" si="0"/>
        <v>1177.1999999999998</v>
      </c>
      <c r="H10" s="53" t="s">
        <v>868</v>
      </c>
      <c r="I10" s="48"/>
    </row>
    <row r="11" spans="2:10" x14ac:dyDescent="0.25">
      <c r="B11" s="48">
        <v>8</v>
      </c>
      <c r="C11" s="52" t="s">
        <v>865</v>
      </c>
      <c r="D11" s="53">
        <v>2</v>
      </c>
      <c r="E11" s="53" t="s">
        <v>760</v>
      </c>
      <c r="F11" s="25">
        <v>151.19999999999999</v>
      </c>
      <c r="G11" s="25">
        <f t="shared" si="0"/>
        <v>302.39999999999998</v>
      </c>
      <c r="H11" s="53" t="s">
        <v>868</v>
      </c>
      <c r="I11" s="48"/>
    </row>
    <row r="12" spans="2:10" x14ac:dyDescent="0.25">
      <c r="B12" s="48">
        <v>9</v>
      </c>
      <c r="C12" s="52" t="s">
        <v>866</v>
      </c>
      <c r="D12" s="53">
        <v>2</v>
      </c>
      <c r="E12" s="53" t="s">
        <v>760</v>
      </c>
      <c r="F12" s="25">
        <v>48.38</v>
      </c>
      <c r="G12" s="25">
        <f t="shared" si="0"/>
        <v>96.76</v>
      </c>
      <c r="H12" s="53" t="s">
        <v>868</v>
      </c>
      <c r="I12" s="48"/>
    </row>
    <row r="13" spans="2:10" x14ac:dyDescent="0.25">
      <c r="B13" s="48">
        <v>10</v>
      </c>
      <c r="C13" s="52" t="s">
        <v>863</v>
      </c>
      <c r="D13" s="53">
        <v>12</v>
      </c>
      <c r="E13" s="53" t="s">
        <v>760</v>
      </c>
      <c r="F13" s="25">
        <v>27.14</v>
      </c>
      <c r="G13" s="25">
        <f t="shared" si="0"/>
        <v>325.68</v>
      </c>
      <c r="H13" s="53" t="s">
        <v>868</v>
      </c>
      <c r="I13" s="48"/>
    </row>
    <row r="14" spans="2:10" x14ac:dyDescent="0.25">
      <c r="B14" s="48">
        <v>11</v>
      </c>
      <c r="C14" s="52" t="s">
        <v>816</v>
      </c>
      <c r="D14" s="53">
        <v>1</v>
      </c>
      <c r="E14" s="53" t="s">
        <v>760</v>
      </c>
      <c r="F14" s="25">
        <v>1056959.67</v>
      </c>
      <c r="G14" s="25">
        <f t="shared" si="0"/>
        <v>1056959.67</v>
      </c>
      <c r="H14" s="53" t="s">
        <v>891</v>
      </c>
      <c r="I14" s="48"/>
    </row>
    <row r="15" spans="2:10" x14ac:dyDescent="0.25">
      <c r="B15" s="48">
        <v>12</v>
      </c>
      <c r="C15" s="52" t="s">
        <v>892</v>
      </c>
      <c r="D15" s="53">
        <v>1</v>
      </c>
      <c r="E15" s="53" t="s">
        <v>760</v>
      </c>
      <c r="F15" s="25">
        <v>163890</v>
      </c>
      <c r="G15" s="25">
        <f t="shared" si="0"/>
        <v>163890</v>
      </c>
      <c r="H15" s="53" t="s">
        <v>891</v>
      </c>
      <c r="I15" s="48"/>
    </row>
    <row r="16" spans="2:10" x14ac:dyDescent="0.25">
      <c r="B16" s="48">
        <v>13</v>
      </c>
      <c r="C16" s="52" t="s">
        <v>805</v>
      </c>
      <c r="D16" s="56">
        <f>50*1.02</f>
        <v>51</v>
      </c>
      <c r="E16" s="53" t="s">
        <v>760</v>
      </c>
      <c r="F16" s="25">
        <v>243.39</v>
      </c>
      <c r="G16" s="25">
        <f t="shared" si="0"/>
        <v>12412.89</v>
      </c>
      <c r="H16" s="53" t="s">
        <v>806</v>
      </c>
      <c r="I16" s="48"/>
      <c r="J16" s="51" t="s">
        <v>852</v>
      </c>
    </row>
    <row r="17" spans="2:10" x14ac:dyDescent="0.25">
      <c r="B17" s="48">
        <v>14</v>
      </c>
      <c r="C17" s="52" t="s">
        <v>807</v>
      </c>
      <c r="D17" s="56">
        <v>51</v>
      </c>
      <c r="E17" s="53" t="s">
        <v>760</v>
      </c>
      <c r="F17" s="25">
        <v>119.7</v>
      </c>
      <c r="G17" s="25">
        <f t="shared" si="0"/>
        <v>6104.7</v>
      </c>
      <c r="H17" s="53" t="s">
        <v>806</v>
      </c>
      <c r="I17" s="48"/>
    </row>
    <row r="18" spans="2:10" x14ac:dyDescent="0.25">
      <c r="B18" s="48">
        <v>15</v>
      </c>
      <c r="C18" s="52" t="s">
        <v>805</v>
      </c>
      <c r="D18" s="56">
        <f>(40*1.02)*4</f>
        <v>163.19999999999999</v>
      </c>
      <c r="E18" s="53" t="s">
        <v>760</v>
      </c>
      <c r="F18" s="25">
        <v>243.39</v>
      </c>
      <c r="G18" s="25">
        <f t="shared" si="0"/>
        <v>39721.247999999992</v>
      </c>
      <c r="H18" s="53" t="s">
        <v>774</v>
      </c>
      <c r="I18" s="48"/>
    </row>
    <row r="19" spans="2:10" x14ac:dyDescent="0.25">
      <c r="B19" s="48">
        <v>16</v>
      </c>
      <c r="C19" s="52" t="s">
        <v>874</v>
      </c>
      <c r="D19" s="53">
        <v>180</v>
      </c>
      <c r="E19" s="43" t="s">
        <v>761</v>
      </c>
      <c r="F19" s="31">
        <v>23.90625</v>
      </c>
      <c r="G19" s="31">
        <f>Tabela2[[#This Row],[Preço Unitário]]*Tabela2[[#This Row],[Quantidade]]</f>
        <v>4303.125</v>
      </c>
      <c r="H19" s="43" t="s">
        <v>774</v>
      </c>
      <c r="I19" s="48"/>
    </row>
    <row r="20" spans="2:10" x14ac:dyDescent="0.25">
      <c r="B20" s="48">
        <v>17</v>
      </c>
      <c r="C20" s="42" t="s">
        <v>778</v>
      </c>
      <c r="D20" s="43">
        <v>50</v>
      </c>
      <c r="E20" s="43" t="s">
        <v>761</v>
      </c>
      <c r="F20" s="31">
        <v>32</v>
      </c>
      <c r="G20" s="31">
        <f>F20*D20</f>
        <v>1600</v>
      </c>
      <c r="H20" s="43" t="s">
        <v>774</v>
      </c>
      <c r="I20" s="48"/>
    </row>
    <row r="21" spans="2:10" x14ac:dyDescent="0.25">
      <c r="B21" s="48">
        <v>18</v>
      </c>
      <c r="C21" s="42" t="s">
        <v>871</v>
      </c>
      <c r="D21" s="43">
        <v>6</v>
      </c>
      <c r="E21" s="43" t="s">
        <v>761</v>
      </c>
      <c r="F21" s="31">
        <v>419</v>
      </c>
      <c r="G21" s="31">
        <f>F21*D21</f>
        <v>2514</v>
      </c>
      <c r="H21" s="43" t="s">
        <v>774</v>
      </c>
      <c r="I21" s="48"/>
    </row>
    <row r="22" spans="2:10" x14ac:dyDescent="0.25">
      <c r="B22" s="48">
        <v>19</v>
      </c>
      <c r="C22" s="42" t="s">
        <v>813</v>
      </c>
      <c r="D22" s="43">
        <v>1</v>
      </c>
      <c r="E22" s="43" t="s">
        <v>760</v>
      </c>
      <c r="F22" s="31">
        <f>23500+7500</f>
        <v>31000</v>
      </c>
      <c r="G22" s="31">
        <f>F22*D22</f>
        <v>31000</v>
      </c>
      <c r="H22" s="43" t="s">
        <v>774</v>
      </c>
      <c r="I22" s="48"/>
    </row>
    <row r="23" spans="2:10" x14ac:dyDescent="0.25">
      <c r="B23" s="48">
        <v>20</v>
      </c>
      <c r="C23" s="44" t="s">
        <v>790</v>
      </c>
      <c r="D23" s="45">
        <v>4</v>
      </c>
      <c r="E23" s="45" t="s">
        <v>760</v>
      </c>
      <c r="F23" s="46">
        <v>1500</v>
      </c>
      <c r="G23" s="46">
        <f>Tabela2[[#This Row],[Preço Unitário]]*Tabela2[[#This Row],[Quantidade]]</f>
        <v>6000</v>
      </c>
      <c r="H23" s="45" t="s">
        <v>771</v>
      </c>
      <c r="I23" s="48"/>
    </row>
    <row r="24" spans="2:10" x14ac:dyDescent="0.25">
      <c r="B24" s="48">
        <v>21</v>
      </c>
      <c r="C24" s="52" t="s">
        <v>789</v>
      </c>
      <c r="D24" s="53">
        <v>1</v>
      </c>
      <c r="E24" s="53" t="s">
        <v>760</v>
      </c>
      <c r="F24" s="25">
        <v>4500</v>
      </c>
      <c r="G24" s="25">
        <f t="shared" ref="G24:G51" si="1">F24*D24</f>
        <v>4500</v>
      </c>
      <c r="H24" s="53" t="s">
        <v>771</v>
      </c>
      <c r="I24" s="48"/>
    </row>
    <row r="25" spans="2:10" x14ac:dyDescent="0.25">
      <c r="B25" s="48">
        <v>22</v>
      </c>
      <c r="C25" s="52" t="s">
        <v>769</v>
      </c>
      <c r="D25" s="53">
        <v>2100</v>
      </c>
      <c r="E25" s="53" t="s">
        <v>811</v>
      </c>
      <c r="F25" s="25">
        <v>9.65</v>
      </c>
      <c r="G25" s="25">
        <f t="shared" si="1"/>
        <v>20265</v>
      </c>
      <c r="H25" s="53" t="s">
        <v>771</v>
      </c>
      <c r="I25" s="48"/>
    </row>
    <row r="26" spans="2:10" x14ac:dyDescent="0.25">
      <c r="B26" s="48">
        <v>23</v>
      </c>
      <c r="C26" s="52" t="s">
        <v>770</v>
      </c>
      <c r="D26" s="53">
        <v>2300</v>
      </c>
      <c r="E26" s="53" t="s">
        <v>811</v>
      </c>
      <c r="F26" s="25">
        <v>9.65</v>
      </c>
      <c r="G26" s="25">
        <f t="shared" si="1"/>
        <v>22195</v>
      </c>
      <c r="H26" s="53" t="s">
        <v>771</v>
      </c>
      <c r="I26" s="48"/>
    </row>
    <row r="27" spans="2:10" x14ac:dyDescent="0.25">
      <c r="B27" s="48">
        <v>24</v>
      </c>
      <c r="C27" s="52" t="s">
        <v>808</v>
      </c>
      <c r="D27" s="53">
        <v>1</v>
      </c>
      <c r="E27" s="53" t="s">
        <v>760</v>
      </c>
      <c r="F27" s="25">
        <v>51500</v>
      </c>
      <c r="G27" s="25">
        <f t="shared" si="1"/>
        <v>51500</v>
      </c>
      <c r="H27" s="53" t="s">
        <v>771</v>
      </c>
      <c r="I27" s="48"/>
    </row>
    <row r="28" spans="2:10" x14ac:dyDescent="0.25">
      <c r="B28" s="48">
        <v>25</v>
      </c>
      <c r="C28" s="52" t="s">
        <v>809</v>
      </c>
      <c r="D28" s="56">
        <v>46.8</v>
      </c>
      <c r="E28" s="53" t="s">
        <v>759</v>
      </c>
      <c r="F28" s="25">
        <v>670</v>
      </c>
      <c r="G28" s="25">
        <f t="shared" si="1"/>
        <v>31355.999999999996</v>
      </c>
      <c r="H28" s="53" t="s">
        <v>771</v>
      </c>
      <c r="I28" s="48"/>
      <c r="J28" s="15" t="s">
        <v>812</v>
      </c>
    </row>
    <row r="29" spans="2:10" x14ac:dyDescent="0.25">
      <c r="B29" s="48">
        <v>26</v>
      </c>
      <c r="C29" s="52" t="s">
        <v>810</v>
      </c>
      <c r="D29" s="56">
        <v>37.200000000000003</v>
      </c>
      <c r="E29" s="53" t="s">
        <v>759</v>
      </c>
      <c r="F29" s="25">
        <v>670</v>
      </c>
      <c r="G29" s="25">
        <f t="shared" si="1"/>
        <v>24924.000000000004</v>
      </c>
      <c r="H29" s="53" t="s">
        <v>771</v>
      </c>
      <c r="I29" s="48"/>
      <c r="J29" s="15" t="s">
        <v>812</v>
      </c>
    </row>
    <row r="30" spans="2:10" x14ac:dyDescent="0.25">
      <c r="B30" s="48">
        <v>27</v>
      </c>
      <c r="C30" s="52" t="s">
        <v>844</v>
      </c>
      <c r="D30" s="53">
        <v>30</v>
      </c>
      <c r="E30" s="53" t="s">
        <v>760</v>
      </c>
      <c r="F30" s="25">
        <v>120</v>
      </c>
      <c r="G30" s="25">
        <f t="shared" si="1"/>
        <v>3600</v>
      </c>
      <c r="H30" s="53" t="s">
        <v>771</v>
      </c>
      <c r="I30" s="48"/>
    </row>
    <row r="31" spans="2:10" x14ac:dyDescent="0.25">
      <c r="B31" s="48">
        <v>28</v>
      </c>
      <c r="C31" s="42" t="s">
        <v>850</v>
      </c>
      <c r="D31" s="43">
        <v>10</v>
      </c>
      <c r="E31" s="43" t="s">
        <v>760</v>
      </c>
      <c r="F31" s="31">
        <v>420</v>
      </c>
      <c r="G31" s="31">
        <f t="shared" si="1"/>
        <v>4200</v>
      </c>
      <c r="H31" s="53" t="s">
        <v>902</v>
      </c>
      <c r="I31" s="48"/>
    </row>
    <row r="32" spans="2:10" x14ac:dyDescent="0.25">
      <c r="B32" s="48">
        <v>29</v>
      </c>
      <c r="C32" s="52" t="s">
        <v>898</v>
      </c>
      <c r="D32" s="43">
        <v>200</v>
      </c>
      <c r="E32" s="43" t="s">
        <v>761</v>
      </c>
      <c r="F32" s="31">
        <v>15</v>
      </c>
      <c r="G32" s="31">
        <f t="shared" si="1"/>
        <v>3000</v>
      </c>
      <c r="H32" s="53" t="s">
        <v>902</v>
      </c>
      <c r="I32" s="48"/>
    </row>
    <row r="33" spans="2:9" x14ac:dyDescent="0.25">
      <c r="B33" s="48">
        <v>30</v>
      </c>
      <c r="C33" s="54" t="s">
        <v>851</v>
      </c>
      <c r="D33" s="55"/>
      <c r="E33" s="55" t="s">
        <v>760</v>
      </c>
      <c r="F33" s="37"/>
      <c r="G33" s="37">
        <f t="shared" si="1"/>
        <v>0</v>
      </c>
      <c r="H33" s="48" t="s">
        <v>902</v>
      </c>
      <c r="I33" s="48"/>
    </row>
    <row r="34" spans="2:9" x14ac:dyDescent="0.25">
      <c r="B34" s="48">
        <v>31</v>
      </c>
      <c r="C34" s="42" t="s">
        <v>782</v>
      </c>
      <c r="D34" s="43">
        <v>8</v>
      </c>
      <c r="E34" s="43" t="s">
        <v>760</v>
      </c>
      <c r="F34" s="31">
        <v>280</v>
      </c>
      <c r="G34" s="31">
        <f t="shared" si="1"/>
        <v>2240</v>
      </c>
      <c r="H34" s="43" t="s">
        <v>576</v>
      </c>
      <c r="I34" s="48"/>
    </row>
    <row r="35" spans="2:9" x14ac:dyDescent="0.25">
      <c r="B35" s="48">
        <v>32</v>
      </c>
      <c r="C35" s="42" t="s">
        <v>783</v>
      </c>
      <c r="D35" s="43">
        <v>5</v>
      </c>
      <c r="E35" s="43" t="s">
        <v>760</v>
      </c>
      <c r="F35" s="31">
        <v>380</v>
      </c>
      <c r="G35" s="31">
        <f t="shared" si="1"/>
        <v>1900</v>
      </c>
      <c r="H35" s="43" t="s">
        <v>576</v>
      </c>
      <c r="I35" s="48"/>
    </row>
    <row r="36" spans="2:9" x14ac:dyDescent="0.25">
      <c r="B36" s="48">
        <v>33</v>
      </c>
      <c r="C36" s="42" t="s">
        <v>784</v>
      </c>
      <c r="D36" s="43">
        <v>2</v>
      </c>
      <c r="E36" s="43" t="s">
        <v>760</v>
      </c>
      <c r="F36" s="31">
        <v>290</v>
      </c>
      <c r="G36" s="31">
        <f t="shared" si="1"/>
        <v>580</v>
      </c>
      <c r="H36" s="43" t="s">
        <v>576</v>
      </c>
      <c r="I36" s="48"/>
    </row>
    <row r="37" spans="2:9" x14ac:dyDescent="0.25">
      <c r="B37" s="48">
        <v>34</v>
      </c>
      <c r="C37" s="42" t="s">
        <v>785</v>
      </c>
      <c r="D37" s="43">
        <v>2</v>
      </c>
      <c r="E37" s="43" t="s">
        <v>760</v>
      </c>
      <c r="F37" s="31">
        <v>290</v>
      </c>
      <c r="G37" s="31">
        <f t="shared" si="1"/>
        <v>580</v>
      </c>
      <c r="H37" s="43" t="s">
        <v>576</v>
      </c>
      <c r="I37" s="48"/>
    </row>
    <row r="38" spans="2:9" x14ac:dyDescent="0.25">
      <c r="B38" s="48">
        <v>35</v>
      </c>
      <c r="C38" s="52" t="s">
        <v>757</v>
      </c>
      <c r="D38" s="53">
        <f>(2000*1.05)*0.15</f>
        <v>315</v>
      </c>
      <c r="E38" s="53" t="s">
        <v>759</v>
      </c>
      <c r="F38" s="25">
        <v>670</v>
      </c>
      <c r="G38" s="25">
        <f t="shared" si="1"/>
        <v>211050</v>
      </c>
      <c r="H38" s="53" t="s">
        <v>635</v>
      </c>
      <c r="I38" s="48"/>
    </row>
    <row r="39" spans="2:9" x14ac:dyDescent="0.25">
      <c r="B39" s="48">
        <v>36</v>
      </c>
      <c r="C39" s="52" t="s">
        <v>775</v>
      </c>
      <c r="D39" s="56">
        <f>2000/13*2</f>
        <v>307.69230769230768</v>
      </c>
      <c r="E39" s="53" t="s">
        <v>760</v>
      </c>
      <c r="F39" s="25">
        <v>220.5</v>
      </c>
      <c r="G39" s="25">
        <f t="shared" si="1"/>
        <v>67846.153846153844</v>
      </c>
      <c r="H39" s="53" t="s">
        <v>635</v>
      </c>
      <c r="I39" s="48"/>
    </row>
    <row r="40" spans="2:9" x14ac:dyDescent="0.25">
      <c r="B40" s="48">
        <v>37</v>
      </c>
      <c r="C40" s="52" t="s">
        <v>758</v>
      </c>
      <c r="D40" s="53">
        <v>167</v>
      </c>
      <c r="E40" s="53" t="s">
        <v>797</v>
      </c>
      <c r="F40" s="25">
        <v>56.2</v>
      </c>
      <c r="G40" s="25">
        <f t="shared" si="1"/>
        <v>9385.4</v>
      </c>
      <c r="H40" s="53" t="s">
        <v>635</v>
      </c>
      <c r="I40" s="48"/>
    </row>
    <row r="41" spans="2:9" x14ac:dyDescent="0.25">
      <c r="B41" s="48">
        <v>38</v>
      </c>
      <c r="C41" s="52" t="s">
        <v>762</v>
      </c>
      <c r="D41" s="53">
        <v>1000</v>
      </c>
      <c r="E41" s="53" t="s">
        <v>763</v>
      </c>
      <c r="F41" s="25">
        <v>7.3</v>
      </c>
      <c r="G41" s="25">
        <f t="shared" si="1"/>
        <v>7300</v>
      </c>
      <c r="H41" s="53" t="s">
        <v>635</v>
      </c>
      <c r="I41" s="48"/>
    </row>
    <row r="42" spans="2:9" x14ac:dyDescent="0.25">
      <c r="B42" s="48">
        <v>39</v>
      </c>
      <c r="C42" s="52" t="s">
        <v>792</v>
      </c>
      <c r="D42" s="53">
        <v>315</v>
      </c>
      <c r="E42" s="53" t="s">
        <v>759</v>
      </c>
      <c r="F42" s="25">
        <v>50</v>
      </c>
      <c r="G42" s="25">
        <f t="shared" si="1"/>
        <v>15750</v>
      </c>
      <c r="H42" s="53" t="s">
        <v>635</v>
      </c>
      <c r="I42" s="48"/>
    </row>
    <row r="43" spans="2:9" x14ac:dyDescent="0.25">
      <c r="B43" s="48">
        <v>40</v>
      </c>
      <c r="C43" s="52" t="s">
        <v>768</v>
      </c>
      <c r="D43" s="53">
        <v>1</v>
      </c>
      <c r="E43" s="53" t="s">
        <v>760</v>
      </c>
      <c r="F43" s="25">
        <v>49800</v>
      </c>
      <c r="G43" s="25">
        <f t="shared" si="1"/>
        <v>49800</v>
      </c>
      <c r="H43" s="53" t="s">
        <v>635</v>
      </c>
      <c r="I43" s="48"/>
    </row>
    <row r="44" spans="2:9" x14ac:dyDescent="0.25">
      <c r="B44" s="48">
        <v>41</v>
      </c>
      <c r="C44" s="52" t="s">
        <v>919</v>
      </c>
      <c r="D44" s="53">
        <v>1</v>
      </c>
      <c r="E44" s="53" t="s">
        <v>760</v>
      </c>
      <c r="F44" s="25">
        <v>15000</v>
      </c>
      <c r="G44" s="25">
        <f t="shared" si="1"/>
        <v>15000</v>
      </c>
      <c r="H44" s="53" t="s">
        <v>837</v>
      </c>
      <c r="I44" s="48" t="s">
        <v>919</v>
      </c>
    </row>
    <row r="45" spans="2:9" x14ac:dyDescent="0.25">
      <c r="B45" s="48">
        <v>42</v>
      </c>
      <c r="C45" s="52" t="s">
        <v>786</v>
      </c>
      <c r="D45" s="53">
        <v>1</v>
      </c>
      <c r="E45" s="53" t="s">
        <v>760</v>
      </c>
      <c r="F45" s="25">
        <v>404191.96</v>
      </c>
      <c r="G45" s="25">
        <f t="shared" si="1"/>
        <v>404191.96</v>
      </c>
      <c r="H45" s="53" t="s">
        <v>837</v>
      </c>
      <c r="I45" s="48" t="s">
        <v>786</v>
      </c>
    </row>
    <row r="46" spans="2:9" x14ac:dyDescent="0.25">
      <c r="B46" s="48">
        <v>43</v>
      </c>
      <c r="C46" s="52" t="s">
        <v>921</v>
      </c>
      <c r="D46" s="53">
        <v>1</v>
      </c>
      <c r="E46" s="53" t="s">
        <v>760</v>
      </c>
      <c r="F46" s="25">
        <v>14503</v>
      </c>
      <c r="G46" s="25">
        <f>F46*D46</f>
        <v>14503</v>
      </c>
      <c r="H46" s="53" t="s">
        <v>837</v>
      </c>
      <c r="I46" s="48" t="s">
        <v>921</v>
      </c>
    </row>
    <row r="47" spans="2:9" x14ac:dyDescent="0.25">
      <c r="B47" s="48">
        <v>44</v>
      </c>
      <c r="C47" s="57" t="s">
        <v>845</v>
      </c>
      <c r="D47" s="53">
        <v>1455.89</v>
      </c>
      <c r="E47" s="53" t="s">
        <v>761</v>
      </c>
      <c r="F47" s="25">
        <v>95.9</v>
      </c>
      <c r="G47" s="25">
        <f t="shared" si="1"/>
        <v>139619.85100000002</v>
      </c>
      <c r="H47" s="53" t="s">
        <v>791</v>
      </c>
      <c r="I47" s="48"/>
    </row>
    <row r="48" spans="2:9" x14ac:dyDescent="0.25">
      <c r="B48" s="48">
        <v>45</v>
      </c>
      <c r="C48" s="52" t="s">
        <v>846</v>
      </c>
      <c r="D48" s="53">
        <v>706.94</v>
      </c>
      <c r="E48" s="53" t="s">
        <v>761</v>
      </c>
      <c r="F48" s="25">
        <v>95.9</v>
      </c>
      <c r="G48" s="25">
        <f t="shared" si="1"/>
        <v>67795.546000000002</v>
      </c>
      <c r="H48" s="53" t="s">
        <v>791</v>
      </c>
      <c r="I48" s="48"/>
    </row>
    <row r="49" spans="2:9" x14ac:dyDescent="0.25">
      <c r="B49" s="48">
        <v>46</v>
      </c>
      <c r="C49" s="44" t="s">
        <v>847</v>
      </c>
      <c r="D49" s="53">
        <v>44</v>
      </c>
      <c r="E49" s="53" t="s">
        <v>818</v>
      </c>
      <c r="F49" s="25">
        <v>95</v>
      </c>
      <c r="G49" s="25">
        <f t="shared" si="1"/>
        <v>4180</v>
      </c>
      <c r="H49" s="53" t="s">
        <v>791</v>
      </c>
      <c r="I49" s="48"/>
    </row>
    <row r="50" spans="2:9" x14ac:dyDescent="0.25">
      <c r="B50" s="48">
        <v>47</v>
      </c>
      <c r="C50" s="44" t="s">
        <v>848</v>
      </c>
      <c r="D50" s="53">
        <v>3</v>
      </c>
      <c r="E50" s="53" t="s">
        <v>818</v>
      </c>
      <c r="F50" s="25">
        <v>35</v>
      </c>
      <c r="G50" s="25">
        <f t="shared" si="1"/>
        <v>105</v>
      </c>
      <c r="H50" s="53" t="s">
        <v>791</v>
      </c>
      <c r="I50" s="48"/>
    </row>
    <row r="51" spans="2:9" x14ac:dyDescent="0.25">
      <c r="B51" s="48">
        <v>48</v>
      </c>
      <c r="C51" s="44" t="s">
        <v>849</v>
      </c>
      <c r="D51" s="53">
        <v>126</v>
      </c>
      <c r="E51" s="53" t="s">
        <v>760</v>
      </c>
      <c r="F51" s="25">
        <v>25.9</v>
      </c>
      <c r="G51" s="25">
        <f t="shared" si="1"/>
        <v>3263.3999999999996</v>
      </c>
      <c r="H51" s="53" t="s">
        <v>791</v>
      </c>
      <c r="I51" s="48"/>
    </row>
    <row r="52" spans="2:9" x14ac:dyDescent="0.25">
      <c r="B52" s="48">
        <v>49</v>
      </c>
      <c r="C52" s="44" t="s">
        <v>817</v>
      </c>
      <c r="D52" s="53">
        <v>1</v>
      </c>
      <c r="E52" s="53" t="s">
        <v>760</v>
      </c>
      <c r="F52" s="25">
        <v>1750</v>
      </c>
      <c r="G52" s="25">
        <f>F52*D52</f>
        <v>1750</v>
      </c>
      <c r="H52" s="53" t="s">
        <v>791</v>
      </c>
      <c r="I52" s="48"/>
    </row>
    <row r="53" spans="2:9" x14ac:dyDescent="0.25">
      <c r="B53" s="48">
        <v>50</v>
      </c>
      <c r="C53" s="52" t="s">
        <v>781</v>
      </c>
      <c r="D53" s="53">
        <v>1</v>
      </c>
      <c r="E53" s="53" t="s">
        <v>760</v>
      </c>
      <c r="F53" s="25">
        <v>174417.38</v>
      </c>
      <c r="G53" s="25">
        <f>F53*D53</f>
        <v>174417.38</v>
      </c>
      <c r="H53" s="53" t="s">
        <v>780</v>
      </c>
      <c r="I53" s="48"/>
    </row>
    <row r="54" spans="2:9" x14ac:dyDescent="0.25">
      <c r="B54" s="48">
        <v>51</v>
      </c>
      <c r="C54" s="42" t="s">
        <v>814</v>
      </c>
      <c r="D54" s="43">
        <v>1</v>
      </c>
      <c r="E54" s="43" t="s">
        <v>760</v>
      </c>
      <c r="F54" s="31">
        <v>5000</v>
      </c>
      <c r="G54" s="31">
        <f>F54*D54</f>
        <v>5000</v>
      </c>
      <c r="H54" s="43" t="s">
        <v>815</v>
      </c>
      <c r="I54" s="48"/>
    </row>
    <row r="55" spans="2:9" x14ac:dyDescent="0.25">
      <c r="B55" s="50"/>
      <c r="C55" s="49"/>
      <c r="D55" s="50"/>
      <c r="E55" s="50"/>
      <c r="F55" s="20"/>
      <c r="G55" s="20"/>
      <c r="H55" s="50"/>
      <c r="I55" s="50"/>
    </row>
    <row r="56" spans="2:9" x14ac:dyDescent="0.25">
      <c r="B56" s="50"/>
      <c r="C56" s="49"/>
      <c r="D56" s="50"/>
      <c r="E56" s="50"/>
      <c r="F56" s="20"/>
      <c r="G56" s="20"/>
      <c r="H56" s="50"/>
      <c r="I56" s="50"/>
    </row>
    <row r="57" spans="2:9" x14ac:dyDescent="0.25">
      <c r="G57" s="16">
        <f>SUM(Tabela2[Preço Total])</f>
        <v>3135692.0038461541</v>
      </c>
    </row>
    <row r="83" spans="8:9" x14ac:dyDescent="0.25">
      <c r="H83" s="36">
        <f>SUM('Expansão DMP'!G57,H79)</f>
        <v>3135692.0038461541</v>
      </c>
      <c r="I83" s="3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H28"/>
  <sheetViews>
    <sheetView workbookViewId="0">
      <selection activeCell="D8" sqref="D8"/>
    </sheetView>
  </sheetViews>
  <sheetFormatPr defaultRowHeight="15" x14ac:dyDescent="0.25"/>
  <cols>
    <col min="3" max="3" width="26.7109375" customWidth="1"/>
    <col min="4" max="4" width="23.7109375" style="14" customWidth="1"/>
    <col min="5" max="7" width="12.7109375" style="14" customWidth="1"/>
    <col min="8" max="8" width="9.140625" style="14"/>
  </cols>
  <sheetData>
    <row r="2" spans="3:8" x14ac:dyDescent="0.25">
      <c r="C2" s="59" t="s">
        <v>908</v>
      </c>
      <c r="D2" s="62">
        <f>'Expansão DMP'!G57</f>
        <v>3135692.0038461541</v>
      </c>
      <c r="G2" s="14" t="s">
        <v>913</v>
      </c>
      <c r="H2" s="61">
        <v>0.8</v>
      </c>
    </row>
    <row r="3" spans="3:8" x14ac:dyDescent="0.25">
      <c r="C3" s="59"/>
      <c r="D3" s="62"/>
      <c r="G3" s="14" t="s">
        <v>914</v>
      </c>
      <c r="H3" s="61">
        <v>0.81</v>
      </c>
    </row>
    <row r="4" spans="3:8" x14ac:dyDescent="0.25">
      <c r="C4" s="59"/>
      <c r="D4" s="62"/>
      <c r="G4" s="14" t="s">
        <v>915</v>
      </c>
      <c r="H4" s="61">
        <v>0.91</v>
      </c>
    </row>
    <row r="6" spans="3:8" x14ac:dyDescent="0.25">
      <c r="C6" s="14" t="s">
        <v>767</v>
      </c>
      <c r="D6" s="14" t="s">
        <v>905</v>
      </c>
      <c r="E6" s="14" t="s">
        <v>802</v>
      </c>
      <c r="F6" s="14" t="s">
        <v>906</v>
      </c>
      <c r="G6" s="14" t="s">
        <v>907</v>
      </c>
    </row>
    <row r="7" spans="3:8" x14ac:dyDescent="0.25">
      <c r="C7" t="s">
        <v>891</v>
      </c>
      <c r="D7" s="63">
        <f>SUMIF(Tabela2[Aplicação],"Estrutura Metálica",Tabela2[Preço Total])</f>
        <v>1220849.67</v>
      </c>
      <c r="E7" s="64">
        <f t="shared" ref="E7:E20" si="0">D7/$D$2</f>
        <v>0.38933979118565826</v>
      </c>
      <c r="F7" s="64">
        <f>E7</f>
        <v>0.38933979118565826</v>
      </c>
      <c r="G7" s="14" t="s">
        <v>913</v>
      </c>
    </row>
    <row r="8" spans="3:8" x14ac:dyDescent="0.25">
      <c r="C8" t="s">
        <v>779</v>
      </c>
      <c r="D8" s="63">
        <f>SUMIF(Tabela2[Aplicação],"AVCB",Tabela2[Preço Total])</f>
        <v>0</v>
      </c>
      <c r="E8" s="64">
        <f t="shared" si="0"/>
        <v>0</v>
      </c>
      <c r="F8" s="64">
        <f t="shared" ref="F8:F20" si="1">F7+E8</f>
        <v>0.38933979118565826</v>
      </c>
      <c r="G8" s="14" t="s">
        <v>913</v>
      </c>
    </row>
    <row r="9" spans="3:8" x14ac:dyDescent="0.25">
      <c r="C9" t="s">
        <v>419</v>
      </c>
      <c r="D9" s="63">
        <f>SUMIF(Tabela2[Aplicação],"SPDA",Tabela2[Preço Total])</f>
        <v>0</v>
      </c>
      <c r="E9" s="64">
        <f t="shared" si="0"/>
        <v>0</v>
      </c>
      <c r="F9" s="64">
        <f t="shared" si="1"/>
        <v>0.38933979118565826</v>
      </c>
      <c r="G9" s="14" t="s">
        <v>913</v>
      </c>
    </row>
    <row r="10" spans="3:8" x14ac:dyDescent="0.25">
      <c r="C10" t="s">
        <v>635</v>
      </c>
      <c r="D10" s="63">
        <f>SUMIF(Tabela2[Aplicação],"Piso",Tabela2[Preço Total])</f>
        <v>361131.5538461539</v>
      </c>
      <c r="E10" s="64">
        <f t="shared" si="0"/>
        <v>0.11516805649381374</v>
      </c>
      <c r="F10" s="64">
        <f t="shared" si="1"/>
        <v>0.50450784767947199</v>
      </c>
      <c r="G10" s="14" t="s">
        <v>913</v>
      </c>
    </row>
    <row r="11" spans="3:8" x14ac:dyDescent="0.25">
      <c r="C11" t="s">
        <v>791</v>
      </c>
      <c r="D11" s="63">
        <f>SUMIF(Tabela2[Aplicação],"Telhado",Tabela2[Preço Total])</f>
        <v>216713.79700000002</v>
      </c>
      <c r="E11" s="64">
        <f t="shared" si="0"/>
        <v>6.9111952555985984E-2</v>
      </c>
      <c r="F11" s="64">
        <f t="shared" si="1"/>
        <v>0.573619800235458</v>
      </c>
      <c r="G11" s="14" t="s">
        <v>914</v>
      </c>
    </row>
    <row r="12" spans="3:8" x14ac:dyDescent="0.25">
      <c r="C12" t="s">
        <v>780</v>
      </c>
      <c r="D12" s="63">
        <f>SUMIF(Tabela2[Aplicação],"Terraplanagem",Tabela2[Preço Total])</f>
        <v>174417.38</v>
      </c>
      <c r="E12" s="64">
        <f t="shared" si="0"/>
        <v>5.56232499193366E-2</v>
      </c>
      <c r="F12" s="64">
        <f t="shared" si="1"/>
        <v>0.62924305015479465</v>
      </c>
      <c r="G12" s="14" t="s">
        <v>914</v>
      </c>
    </row>
    <row r="13" spans="3:8" x14ac:dyDescent="0.25">
      <c r="C13" t="s">
        <v>771</v>
      </c>
      <c r="D13" s="63">
        <f>SUMIF(Tabela2[Aplicação],"Fundação",Tabela2[Preço Total])</f>
        <v>164340</v>
      </c>
      <c r="E13" s="64">
        <f t="shared" si="0"/>
        <v>5.2409484030454853E-2</v>
      </c>
      <c r="F13" s="64">
        <f t="shared" si="1"/>
        <v>0.68165253418524951</v>
      </c>
      <c r="G13" s="14" t="s">
        <v>915</v>
      </c>
    </row>
    <row r="14" spans="3:8" x14ac:dyDescent="0.25">
      <c r="C14" t="s">
        <v>774</v>
      </c>
      <c r="D14" s="63">
        <f>SUMIF(Tabela2[Aplicação],"Fechamento Lateral",Tabela2[Preço Total])</f>
        <v>79138.372999999992</v>
      </c>
      <c r="E14" s="64">
        <f t="shared" si="0"/>
        <v>2.5237929268222461E-2</v>
      </c>
      <c r="F14" s="64">
        <f t="shared" si="1"/>
        <v>0.70689046345347195</v>
      </c>
      <c r="G14" s="14" t="s">
        <v>915</v>
      </c>
    </row>
    <row r="15" spans="3:8" x14ac:dyDescent="0.25">
      <c r="C15" t="s">
        <v>868</v>
      </c>
      <c r="D15" s="63">
        <f>SUMIF(Tabela2[Aplicação],"Drenagem Pluvial",Tabela2[Preço Total])</f>
        <v>21626.68</v>
      </c>
      <c r="E15" s="64">
        <f t="shared" si="0"/>
        <v>6.8969401246912346E-3</v>
      </c>
      <c r="F15" s="64">
        <f t="shared" si="1"/>
        <v>0.71378740357816317</v>
      </c>
      <c r="G15" s="14" t="s">
        <v>915</v>
      </c>
    </row>
    <row r="16" spans="3:8" x14ac:dyDescent="0.25">
      <c r="C16" t="s">
        <v>806</v>
      </c>
      <c r="D16" s="63">
        <f>SUMIF(Tabela2[Aplicação],"Fechamento Frontal",Tabela2[Preço Total])</f>
        <v>18517.59</v>
      </c>
      <c r="E16" s="64">
        <f t="shared" si="0"/>
        <v>5.9054237397317185E-3</v>
      </c>
      <c r="F16" s="64">
        <f t="shared" si="1"/>
        <v>0.71969282731789486</v>
      </c>
      <c r="G16" s="14" t="s">
        <v>915</v>
      </c>
    </row>
    <row r="17" spans="3:7" x14ac:dyDescent="0.25">
      <c r="C17" t="s">
        <v>902</v>
      </c>
      <c r="D17" s="63">
        <f>SUMIF(Tabela2[Aplicação],"Iluminação Galpão",Tabela2[Preço Total])</f>
        <v>7200</v>
      </c>
      <c r="E17" s="64">
        <f t="shared" si="0"/>
        <v>2.296143878661768E-3</v>
      </c>
      <c r="F17" s="64">
        <f t="shared" si="1"/>
        <v>0.72198897119655658</v>
      </c>
      <c r="G17" s="14" t="s">
        <v>915</v>
      </c>
    </row>
    <row r="18" spans="3:7" x14ac:dyDescent="0.25">
      <c r="C18" t="s">
        <v>576</v>
      </c>
      <c r="D18" s="63">
        <f>SUMIF(Tabela2[Aplicação],"Pintura",Tabela2[Preço Total])</f>
        <v>5300</v>
      </c>
      <c r="E18" s="64">
        <f t="shared" si="0"/>
        <v>1.6902170217926904E-3</v>
      </c>
      <c r="F18" s="64">
        <f t="shared" si="1"/>
        <v>0.72367918821834931</v>
      </c>
      <c r="G18" s="14" t="s">
        <v>915</v>
      </c>
    </row>
    <row r="19" spans="3:7" x14ac:dyDescent="0.25">
      <c r="C19" t="s">
        <v>815</v>
      </c>
      <c r="D19" s="63">
        <f>SUMIF(Tabela2[Aplicação],"Topografia",Tabela2[Preço Total])</f>
        <v>5000</v>
      </c>
      <c r="E19" s="64">
        <f t="shared" si="0"/>
        <v>1.5945443601817833E-3</v>
      </c>
      <c r="F19" s="64">
        <f t="shared" si="1"/>
        <v>0.72527373257853112</v>
      </c>
      <c r="G19" s="14" t="s">
        <v>915</v>
      </c>
    </row>
    <row r="20" spans="3:7" x14ac:dyDescent="0.25">
      <c r="C20" t="s">
        <v>798</v>
      </c>
      <c r="D20" s="63">
        <f>SUMIF(Tabela2[Aplicação],"Armazenamento",Tabela2[Preço Total])</f>
        <v>0</v>
      </c>
      <c r="E20" s="64">
        <f t="shared" si="0"/>
        <v>0</v>
      </c>
      <c r="F20" s="64">
        <f t="shared" si="1"/>
        <v>0.72527373257853112</v>
      </c>
      <c r="G20" s="14" t="s">
        <v>915</v>
      </c>
    </row>
    <row r="21" spans="3:7" x14ac:dyDescent="0.25">
      <c r="D21" s="63"/>
      <c r="E21" s="61"/>
      <c r="F21" s="61"/>
    </row>
    <row r="22" spans="3:7" x14ac:dyDescent="0.25">
      <c r="D22" s="63"/>
      <c r="E22" s="61"/>
      <c r="F22" s="61"/>
    </row>
    <row r="23" spans="3:7" x14ac:dyDescent="0.25">
      <c r="D23" s="63"/>
      <c r="E23" s="61"/>
      <c r="F23" s="61"/>
    </row>
    <row r="24" spans="3:7" x14ac:dyDescent="0.25">
      <c r="D24" s="63"/>
      <c r="E24" s="61"/>
      <c r="F24" s="61"/>
    </row>
    <row r="25" spans="3:7" x14ac:dyDescent="0.25">
      <c r="D25" s="63"/>
      <c r="E25" s="61"/>
      <c r="F25" s="61"/>
    </row>
    <row r="26" spans="3:7" x14ac:dyDescent="0.25">
      <c r="D26" s="63"/>
      <c r="E26" s="61"/>
      <c r="F26" s="61"/>
    </row>
    <row r="27" spans="3:7" x14ac:dyDescent="0.25">
      <c r="D27" s="63"/>
      <c r="E27" s="61"/>
      <c r="F27" s="61"/>
    </row>
    <row r="28" spans="3:7" x14ac:dyDescent="0.25">
      <c r="D28" s="63"/>
    </row>
  </sheetData>
  <autoFilter ref="C6:G6">
    <sortState ref="C7:G20">
      <sortCondition descending="1" ref="E6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EAP_Cronograma</vt:lpstr>
      <vt:lpstr>DPA IV</vt:lpstr>
      <vt:lpstr> ABC DPA IV</vt:lpstr>
      <vt:lpstr>Expansão DMP</vt:lpstr>
      <vt:lpstr>ABC DMP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Gean Carlos de Sousa Fernandes</cp:lastModifiedBy>
  <cp:lastPrinted>2026-09-23T12:16:23Z</cp:lastPrinted>
  <dcterms:created xsi:type="dcterms:W3CDTF">2026-09-17T11:57:48Z</dcterms:created>
  <dcterms:modified xsi:type="dcterms:W3CDTF">2026-10-22T17:28:58Z</dcterms:modified>
</cp:coreProperties>
</file>