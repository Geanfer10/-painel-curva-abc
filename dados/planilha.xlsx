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4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F33" i="3" l="1"/>
  <c r="G59" i="6"/>
  <c r="G46" i="3" l="1"/>
  <c r="G48" i="3"/>
  <c r="G49" i="3"/>
  <c r="G50" i="3"/>
  <c r="G51" i="3"/>
  <c r="G47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2" i="3"/>
  <c r="G54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1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3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7" i="3"/>
  <c r="H83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<sst xmlns="http://schemas.openxmlformats.org/spreadsheetml/2006/main" count="2366" uniqueCount="929">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</sst>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4" totalsRowShown="0" headerRowDxfId="9" dataDxfId="8">
  <autoFilter ref="B3:I54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5"/>
  <sheetViews>
    <sheetView showGridLines="0" zoomScale="85" zoomScaleNormal="85" workbookViewId="0">
      <pane ySplit="1" topLeftCell="A71" activePane="bottomLeft" state="frozen"/>
      <selection activeCell="C1" sqref="C1"/>
      <selection pane="bottomLeft" activeCell="H106" sqref="H106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B100" s="18"/>
      <c r="C100" s="18"/>
      <c r="D100" s="19"/>
      <c r="E100" s="18"/>
      <c r="F100" s="18"/>
      <c r="G100" s="20" t="s">
        <v>925</v>
      </c>
      <c r="H100" s="23" t="s">
        <v>926</v>
      </c>
      <c r="I100" s="18"/>
      <c r="J100" s="27"/>
      <c r="K100" s="27"/>
    </row>
    <row r="101" spans="2:12" x14ac:dyDescent="0.25">
      <c r="D101" s="21"/>
      <c r="E101" s="22"/>
      <c r="F101" s="22"/>
      <c r="H101" s="16">
        <f>SUM(Tabela24[Preço Total])</f>
        <v>5833096.2741069021</v>
      </c>
    </row>
    <row r="102" spans="2:12" x14ac:dyDescent="0.25">
      <c r="D102" s="28"/>
      <c r="E102" s="29"/>
      <c r="F102" s="29"/>
    </row>
    <row r="105" spans="2:12" x14ac:dyDescent="0.25">
      <c r="H10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IV'!H101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3"/>
  <sheetViews>
    <sheetView showGridLines="0" topLeftCell="A25" zoomScale="85" zoomScaleNormal="85" workbookViewId="0">
      <selection activeCell="F56" sqref="F56:G56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/>
      <c r="G4" s="20">
        <f t="shared" ref="G4:G18" si="0">F4*D4</f>
        <v>0</v>
      </c>
      <c r="H4" s="33" t="s">
        <v>798</v>
      </c>
      <c r="I4" s="31"/>
      <c r="J4" s="34" t="s">
        <v>860</v>
      </c>
    </row>
    <row r="5" spans="2:10" x14ac:dyDescent="0.25">
      <c r="B5" s="31">
        <v>2</v>
      </c>
      <c r="C5" s="43" t="s">
        <v>776</v>
      </c>
      <c r="D5" s="31">
        <v>1</v>
      </c>
      <c r="E5" s="31" t="s">
        <v>760</v>
      </c>
      <c r="F5" s="44">
        <f>212518+208594</f>
        <v>421112</v>
      </c>
      <c r="G5" s="44">
        <f t="shared" si="0"/>
        <v>421112</v>
      </c>
      <c r="H5" s="31" t="s">
        <v>920</v>
      </c>
      <c r="I5" s="31"/>
    </row>
    <row r="6" spans="2:10" x14ac:dyDescent="0.25">
      <c r="B6" s="31">
        <v>3</v>
      </c>
      <c r="C6" s="43" t="s">
        <v>822</v>
      </c>
      <c r="D6" s="31">
        <v>1</v>
      </c>
      <c r="E6" s="31" t="s">
        <v>760</v>
      </c>
      <c r="F6" s="44">
        <v>6650</v>
      </c>
      <c r="G6" s="44">
        <f t="shared" si="0"/>
        <v>6650</v>
      </c>
      <c r="H6" s="31" t="s">
        <v>920</v>
      </c>
      <c r="I6" s="31"/>
    </row>
    <row r="7" spans="2:10" x14ac:dyDescent="0.25">
      <c r="B7" s="31">
        <v>4</v>
      </c>
      <c r="C7" s="43" t="s">
        <v>861</v>
      </c>
      <c r="D7" s="31">
        <v>10</v>
      </c>
      <c r="E7" s="31" t="s">
        <v>881</v>
      </c>
      <c r="F7" s="44">
        <v>198.72</v>
      </c>
      <c r="G7" s="44">
        <f t="shared" si="0"/>
        <v>1987.2</v>
      </c>
      <c r="H7" s="31" t="s">
        <v>868</v>
      </c>
      <c r="I7" s="31"/>
    </row>
    <row r="8" spans="2:10" x14ac:dyDescent="0.25">
      <c r="B8" s="31">
        <v>5</v>
      </c>
      <c r="C8" s="43" t="s">
        <v>864</v>
      </c>
      <c r="D8" s="31">
        <v>25</v>
      </c>
      <c r="E8" s="31" t="s">
        <v>881</v>
      </c>
      <c r="F8" s="44">
        <v>484.24</v>
      </c>
      <c r="G8" s="44">
        <f t="shared" si="0"/>
        <v>12106</v>
      </c>
      <c r="H8" s="31" t="s">
        <v>868</v>
      </c>
      <c r="I8" s="31"/>
    </row>
    <row r="9" spans="2:10" x14ac:dyDescent="0.25">
      <c r="B9" s="31">
        <v>6</v>
      </c>
      <c r="C9" s="43" t="s">
        <v>867</v>
      </c>
      <c r="D9" s="31">
        <v>8</v>
      </c>
      <c r="E9" s="31" t="s">
        <v>760</v>
      </c>
      <c r="F9" s="44">
        <v>703.93</v>
      </c>
      <c r="G9" s="44">
        <f t="shared" si="0"/>
        <v>5631.44</v>
      </c>
      <c r="H9" s="31" t="s">
        <v>868</v>
      </c>
      <c r="I9" s="31"/>
    </row>
    <row r="10" spans="2:10" x14ac:dyDescent="0.25">
      <c r="B10" s="31">
        <v>7</v>
      </c>
      <c r="C10" s="43" t="s">
        <v>862</v>
      </c>
      <c r="D10" s="31">
        <v>24</v>
      </c>
      <c r="E10" s="31" t="s">
        <v>760</v>
      </c>
      <c r="F10" s="44">
        <v>49.05</v>
      </c>
      <c r="G10" s="44">
        <f t="shared" si="0"/>
        <v>1177.1999999999998</v>
      </c>
      <c r="H10" s="31" t="s">
        <v>868</v>
      </c>
      <c r="I10" s="31"/>
    </row>
    <row r="11" spans="2:10" x14ac:dyDescent="0.25">
      <c r="B11" s="31">
        <v>8</v>
      </c>
      <c r="C11" s="43" t="s">
        <v>865</v>
      </c>
      <c r="D11" s="31">
        <v>2</v>
      </c>
      <c r="E11" s="31" t="s">
        <v>760</v>
      </c>
      <c r="F11" s="44">
        <v>151.19999999999999</v>
      </c>
      <c r="G11" s="44">
        <f t="shared" si="0"/>
        <v>302.39999999999998</v>
      </c>
      <c r="H11" s="31" t="s">
        <v>868</v>
      </c>
      <c r="I11" s="31"/>
    </row>
    <row r="12" spans="2:10" x14ac:dyDescent="0.25">
      <c r="B12" s="31">
        <v>9</v>
      </c>
      <c r="C12" s="43" t="s">
        <v>866</v>
      </c>
      <c r="D12" s="31">
        <v>2</v>
      </c>
      <c r="E12" s="31" t="s">
        <v>760</v>
      </c>
      <c r="F12" s="44">
        <v>48.38</v>
      </c>
      <c r="G12" s="44">
        <f t="shared" si="0"/>
        <v>96.76</v>
      </c>
      <c r="H12" s="31" t="s">
        <v>868</v>
      </c>
      <c r="I12" s="31"/>
    </row>
    <row r="13" spans="2:10" x14ac:dyDescent="0.25">
      <c r="B13" s="31">
        <v>10</v>
      </c>
      <c r="C13" s="43" t="s">
        <v>863</v>
      </c>
      <c r="D13" s="31">
        <v>12</v>
      </c>
      <c r="E13" s="31" t="s">
        <v>760</v>
      </c>
      <c r="F13" s="44">
        <v>27.14</v>
      </c>
      <c r="G13" s="44">
        <f t="shared" si="0"/>
        <v>325.68</v>
      </c>
      <c r="H13" s="31" t="s">
        <v>868</v>
      </c>
      <c r="I13" s="31"/>
    </row>
    <row r="14" spans="2:10" x14ac:dyDescent="0.25">
      <c r="B14" s="31">
        <v>11</v>
      </c>
      <c r="C14" s="43" t="s">
        <v>816</v>
      </c>
      <c r="D14" s="31">
        <v>1</v>
      </c>
      <c r="E14" s="31" t="s">
        <v>760</v>
      </c>
      <c r="F14" s="44">
        <v>1056959.67</v>
      </c>
      <c r="G14" s="44">
        <f t="shared" si="0"/>
        <v>1056959.67</v>
      </c>
      <c r="H14" s="31" t="s">
        <v>891</v>
      </c>
      <c r="I14" s="31"/>
    </row>
    <row r="15" spans="2:10" x14ac:dyDescent="0.25">
      <c r="B15" s="31">
        <v>12</v>
      </c>
      <c r="C15" s="43" t="s">
        <v>892</v>
      </c>
      <c r="D15" s="31">
        <v>1</v>
      </c>
      <c r="E15" s="31" t="s">
        <v>760</v>
      </c>
      <c r="F15" s="44">
        <v>163890</v>
      </c>
      <c r="G15" s="44">
        <f t="shared" si="0"/>
        <v>163890</v>
      </c>
      <c r="H15" s="31" t="s">
        <v>891</v>
      </c>
      <c r="I15" s="31"/>
    </row>
    <row r="16" spans="2:10" x14ac:dyDescent="0.25">
      <c r="B16" s="31">
        <v>13</v>
      </c>
      <c r="C16" s="43" t="s">
        <v>805</v>
      </c>
      <c r="D16" s="45">
        <f>50*1.02</f>
        <v>51</v>
      </c>
      <c r="E16" s="31" t="s">
        <v>760</v>
      </c>
      <c r="F16" s="44">
        <v>243.39</v>
      </c>
      <c r="G16" s="44">
        <f t="shared" si="0"/>
        <v>12412.89</v>
      </c>
      <c r="H16" s="31" t="s">
        <v>806</v>
      </c>
      <c r="I16" s="31"/>
      <c r="J16" s="34" t="s">
        <v>852</v>
      </c>
    </row>
    <row r="17" spans="2:10" x14ac:dyDescent="0.25">
      <c r="B17" s="31">
        <v>14</v>
      </c>
      <c r="C17" s="43" t="s">
        <v>807</v>
      </c>
      <c r="D17" s="45">
        <v>51</v>
      </c>
      <c r="E17" s="31" t="s">
        <v>760</v>
      </c>
      <c r="F17" s="44">
        <v>119.7</v>
      </c>
      <c r="G17" s="44">
        <f t="shared" si="0"/>
        <v>6104.7</v>
      </c>
      <c r="H17" s="31" t="s">
        <v>806</v>
      </c>
      <c r="I17" s="31"/>
    </row>
    <row r="18" spans="2:10" x14ac:dyDescent="0.25">
      <c r="B18" s="31">
        <v>15</v>
      </c>
      <c r="C18" s="43" t="s">
        <v>805</v>
      </c>
      <c r="D18" s="45">
        <f>(40*1.02)*4</f>
        <v>163.19999999999999</v>
      </c>
      <c r="E18" s="31" t="s">
        <v>760</v>
      </c>
      <c r="F18" s="44">
        <v>243.39</v>
      </c>
      <c r="G18" s="44">
        <f t="shared" si="0"/>
        <v>39721.247999999992</v>
      </c>
      <c r="H18" s="31" t="s">
        <v>774</v>
      </c>
      <c r="I18" s="31"/>
    </row>
    <row r="19" spans="2:10" x14ac:dyDescent="0.25">
      <c r="B19" s="31">
        <v>16</v>
      </c>
      <c r="C19" s="43" t="s">
        <v>874</v>
      </c>
      <c r="D19" s="31">
        <v>180</v>
      </c>
      <c r="E19" s="33" t="s">
        <v>761</v>
      </c>
      <c r="F19" s="25">
        <v>23.90625</v>
      </c>
      <c r="G19" s="25">
        <f>Tabela2[[#This Row],[Preço Unitário]]*Tabela2[[#This Row],[Quantidade]]</f>
        <v>4303.125</v>
      </c>
      <c r="H19" s="33" t="s">
        <v>774</v>
      </c>
      <c r="I19" s="31"/>
    </row>
    <row r="20" spans="2:10" x14ac:dyDescent="0.25">
      <c r="B20" s="31">
        <v>17</v>
      </c>
      <c r="C20" s="32" t="s">
        <v>778</v>
      </c>
      <c r="D20" s="33">
        <v>50</v>
      </c>
      <c r="E20" s="33" t="s">
        <v>761</v>
      </c>
      <c r="F20" s="25">
        <v>32</v>
      </c>
      <c r="G20" s="25">
        <f>F20*D20</f>
        <v>1600</v>
      </c>
      <c r="H20" s="33" t="s">
        <v>774</v>
      </c>
      <c r="I20" s="31"/>
    </row>
    <row r="21" spans="2:10" x14ac:dyDescent="0.25">
      <c r="B21" s="31">
        <v>18</v>
      </c>
      <c r="C21" s="32" t="s">
        <v>871</v>
      </c>
      <c r="D21" s="33">
        <v>6</v>
      </c>
      <c r="E21" s="33" t="s">
        <v>761</v>
      </c>
      <c r="F21" s="25">
        <v>419</v>
      </c>
      <c r="G21" s="25">
        <f>F21*D21</f>
        <v>2514</v>
      </c>
      <c r="H21" s="33" t="s">
        <v>774</v>
      </c>
      <c r="I21" s="31"/>
    </row>
    <row r="22" spans="2:10" x14ac:dyDescent="0.25">
      <c r="B22" s="31">
        <v>19</v>
      </c>
      <c r="C22" s="32" t="s">
        <v>813</v>
      </c>
      <c r="D22" s="33">
        <v>1</v>
      </c>
      <c r="E22" s="33" t="s">
        <v>760</v>
      </c>
      <c r="F22" s="25">
        <f>23500+7500</f>
        <v>31000</v>
      </c>
      <c r="G22" s="25">
        <f>F22*D22</f>
        <v>31000</v>
      </c>
      <c r="H22" s="33" t="s">
        <v>774</v>
      </c>
      <c r="I22" s="31"/>
    </row>
    <row r="23" spans="2:10" x14ac:dyDescent="0.25">
      <c r="B23" s="31">
        <v>20</v>
      </c>
      <c r="C23" s="46" t="s">
        <v>790</v>
      </c>
      <c r="D23" s="47">
        <v>4</v>
      </c>
      <c r="E23" s="47" t="s">
        <v>760</v>
      </c>
      <c r="F23" s="48">
        <v>1500</v>
      </c>
      <c r="G23" s="48">
        <f>Tabela2[[#This Row],[Preço Unitário]]*Tabela2[[#This Row],[Quantidade]]</f>
        <v>6000</v>
      </c>
      <c r="H23" s="47" t="s">
        <v>771</v>
      </c>
      <c r="I23" s="31"/>
    </row>
    <row r="24" spans="2:10" x14ac:dyDescent="0.25">
      <c r="B24" s="31">
        <v>21</v>
      </c>
      <c r="C24" s="43" t="s">
        <v>789</v>
      </c>
      <c r="D24" s="31">
        <v>1</v>
      </c>
      <c r="E24" s="31" t="s">
        <v>760</v>
      </c>
      <c r="F24" s="44">
        <v>4500</v>
      </c>
      <c r="G24" s="44">
        <f t="shared" ref="G24:G51" si="1">F24*D24</f>
        <v>4500</v>
      </c>
      <c r="H24" s="31" t="s">
        <v>771</v>
      </c>
      <c r="I24" s="31"/>
    </row>
    <row r="25" spans="2:10" x14ac:dyDescent="0.25">
      <c r="B25" s="31">
        <v>22</v>
      </c>
      <c r="C25" s="43" t="s">
        <v>769</v>
      </c>
      <c r="D25" s="31">
        <v>2100</v>
      </c>
      <c r="E25" s="31" t="s">
        <v>811</v>
      </c>
      <c r="F25" s="44">
        <v>9.65</v>
      </c>
      <c r="G25" s="44">
        <f t="shared" si="1"/>
        <v>20265</v>
      </c>
      <c r="H25" s="31" t="s">
        <v>771</v>
      </c>
      <c r="I25" s="31"/>
    </row>
    <row r="26" spans="2:10" x14ac:dyDescent="0.25">
      <c r="B26" s="31">
        <v>23</v>
      </c>
      <c r="C26" s="43" t="s">
        <v>770</v>
      </c>
      <c r="D26" s="31">
        <v>2300</v>
      </c>
      <c r="E26" s="31" t="s">
        <v>811</v>
      </c>
      <c r="F26" s="44">
        <v>9.65</v>
      </c>
      <c r="G26" s="44">
        <f t="shared" si="1"/>
        <v>22195</v>
      </c>
      <c r="H26" s="31" t="s">
        <v>771</v>
      </c>
      <c r="I26" s="31"/>
    </row>
    <row r="27" spans="2:10" x14ac:dyDescent="0.25">
      <c r="B27" s="31">
        <v>24</v>
      </c>
      <c r="C27" s="43" t="s">
        <v>808</v>
      </c>
      <c r="D27" s="31">
        <v>1</v>
      </c>
      <c r="E27" s="31" t="s">
        <v>760</v>
      </c>
      <c r="F27" s="44">
        <v>51500</v>
      </c>
      <c r="G27" s="44">
        <f t="shared" si="1"/>
        <v>51500</v>
      </c>
      <c r="H27" s="31" t="s">
        <v>771</v>
      </c>
      <c r="I27" s="31"/>
    </row>
    <row r="28" spans="2:10" x14ac:dyDescent="0.25">
      <c r="B28" s="31">
        <v>25</v>
      </c>
      <c r="C28" s="43" t="s">
        <v>809</v>
      </c>
      <c r="D28" s="45">
        <v>46.8</v>
      </c>
      <c r="E28" s="31" t="s">
        <v>759</v>
      </c>
      <c r="F28" s="44">
        <v>670</v>
      </c>
      <c r="G28" s="44">
        <f t="shared" si="1"/>
        <v>31355.999999999996</v>
      </c>
      <c r="H28" s="31" t="s">
        <v>771</v>
      </c>
      <c r="I28" s="31"/>
      <c r="J28" s="15" t="s">
        <v>812</v>
      </c>
    </row>
    <row r="29" spans="2:10" x14ac:dyDescent="0.25">
      <c r="B29" s="31">
        <v>26</v>
      </c>
      <c r="C29" s="43" t="s">
        <v>810</v>
      </c>
      <c r="D29" s="45">
        <v>37.200000000000003</v>
      </c>
      <c r="E29" s="31" t="s">
        <v>759</v>
      </c>
      <c r="F29" s="44">
        <v>670</v>
      </c>
      <c r="G29" s="44">
        <f t="shared" si="1"/>
        <v>24924.000000000004</v>
      </c>
      <c r="H29" s="31" t="s">
        <v>771</v>
      </c>
      <c r="I29" s="31"/>
      <c r="J29" s="15" t="s">
        <v>812</v>
      </c>
    </row>
    <row r="30" spans="2:10" x14ac:dyDescent="0.25">
      <c r="B30" s="31">
        <v>27</v>
      </c>
      <c r="C30" s="43" t="s">
        <v>844</v>
      </c>
      <c r="D30" s="31">
        <v>30</v>
      </c>
      <c r="E30" s="31" t="s">
        <v>760</v>
      </c>
      <c r="F30" s="44">
        <v>120</v>
      </c>
      <c r="G30" s="44">
        <f t="shared" si="1"/>
        <v>3600</v>
      </c>
      <c r="H30" s="31" t="s">
        <v>771</v>
      </c>
      <c r="I30" s="31"/>
    </row>
    <row r="31" spans="2:10" x14ac:dyDescent="0.25">
      <c r="B31" s="31">
        <v>28</v>
      </c>
      <c r="C31" s="32" t="s">
        <v>850</v>
      </c>
      <c r="D31" s="33">
        <v>10</v>
      </c>
      <c r="E31" s="33" t="s">
        <v>760</v>
      </c>
      <c r="F31" s="25">
        <v>420</v>
      </c>
      <c r="G31" s="25">
        <f t="shared" si="1"/>
        <v>4200</v>
      </c>
      <c r="H31" s="31" t="s">
        <v>902</v>
      </c>
      <c r="I31" s="31"/>
    </row>
    <row r="32" spans="2:10" x14ac:dyDescent="0.25">
      <c r="B32" s="31">
        <v>29</v>
      </c>
      <c r="C32" s="43" t="s">
        <v>898</v>
      </c>
      <c r="D32" s="33">
        <v>200</v>
      </c>
      <c r="E32" s="33" t="s">
        <v>761</v>
      </c>
      <c r="F32" s="25">
        <v>15</v>
      </c>
      <c r="G32" s="25">
        <f t="shared" si="1"/>
        <v>3000</v>
      </c>
      <c r="H32" s="31" t="s">
        <v>902</v>
      </c>
      <c r="I32" s="31"/>
    </row>
    <row r="33" spans="2:9" x14ac:dyDescent="0.25">
      <c r="B33" s="31">
        <v>30</v>
      </c>
      <c r="C33" s="32" t="s">
        <v>851</v>
      </c>
      <c r="D33" s="33">
        <v>1</v>
      </c>
      <c r="E33" s="33" t="s">
        <v>760</v>
      </c>
      <c r="F33" s="25">
        <f>119439/2</f>
        <v>59719.5</v>
      </c>
      <c r="G33" s="25">
        <f t="shared" si="1"/>
        <v>59719.5</v>
      </c>
      <c r="H33" s="31" t="s">
        <v>902</v>
      </c>
      <c r="I33" s="31"/>
    </row>
    <row r="34" spans="2:9" x14ac:dyDescent="0.25">
      <c r="B34" s="31">
        <v>31</v>
      </c>
      <c r="C34" s="32" t="s">
        <v>782</v>
      </c>
      <c r="D34" s="33">
        <v>8</v>
      </c>
      <c r="E34" s="33" t="s">
        <v>760</v>
      </c>
      <c r="F34" s="25">
        <v>280</v>
      </c>
      <c r="G34" s="25">
        <f t="shared" si="1"/>
        <v>2240</v>
      </c>
      <c r="H34" s="33" t="s">
        <v>576</v>
      </c>
      <c r="I34" s="31"/>
    </row>
    <row r="35" spans="2:9" x14ac:dyDescent="0.25">
      <c r="B35" s="31">
        <v>32</v>
      </c>
      <c r="C35" s="32" t="s">
        <v>783</v>
      </c>
      <c r="D35" s="33">
        <v>5</v>
      </c>
      <c r="E35" s="33" t="s">
        <v>760</v>
      </c>
      <c r="F35" s="25">
        <v>380</v>
      </c>
      <c r="G35" s="25">
        <f t="shared" si="1"/>
        <v>1900</v>
      </c>
      <c r="H35" s="33" t="s">
        <v>576</v>
      </c>
      <c r="I35" s="31"/>
    </row>
    <row r="36" spans="2:9" x14ac:dyDescent="0.25">
      <c r="B36" s="31">
        <v>33</v>
      </c>
      <c r="C36" s="32" t="s">
        <v>784</v>
      </c>
      <c r="D36" s="33">
        <v>2</v>
      </c>
      <c r="E36" s="33" t="s">
        <v>760</v>
      </c>
      <c r="F36" s="25">
        <v>290</v>
      </c>
      <c r="G36" s="25">
        <f t="shared" si="1"/>
        <v>580</v>
      </c>
      <c r="H36" s="33" t="s">
        <v>576</v>
      </c>
      <c r="I36" s="31"/>
    </row>
    <row r="37" spans="2:9" x14ac:dyDescent="0.25">
      <c r="B37" s="31">
        <v>34</v>
      </c>
      <c r="C37" s="32" t="s">
        <v>785</v>
      </c>
      <c r="D37" s="33">
        <v>2</v>
      </c>
      <c r="E37" s="33" t="s">
        <v>760</v>
      </c>
      <c r="F37" s="25">
        <v>290</v>
      </c>
      <c r="G37" s="25">
        <f t="shared" si="1"/>
        <v>580</v>
      </c>
      <c r="H37" s="33" t="s">
        <v>576</v>
      </c>
      <c r="I37" s="31"/>
    </row>
    <row r="38" spans="2:9" x14ac:dyDescent="0.25">
      <c r="B38" s="31">
        <v>35</v>
      </c>
      <c r="C38" s="43" t="s">
        <v>757</v>
      </c>
      <c r="D38" s="31">
        <f>(2000*1.05)*0.15</f>
        <v>315</v>
      </c>
      <c r="E38" s="31" t="s">
        <v>759</v>
      </c>
      <c r="F38" s="44">
        <v>670</v>
      </c>
      <c r="G38" s="44">
        <f t="shared" si="1"/>
        <v>211050</v>
      </c>
      <c r="H38" s="31" t="s">
        <v>635</v>
      </c>
      <c r="I38" s="31"/>
    </row>
    <row r="39" spans="2:9" x14ac:dyDescent="0.25">
      <c r="B39" s="31">
        <v>36</v>
      </c>
      <c r="C39" s="43" t="s">
        <v>775</v>
      </c>
      <c r="D39" s="45">
        <f>2000/13*2</f>
        <v>307.69230769230768</v>
      </c>
      <c r="E39" s="31" t="s">
        <v>760</v>
      </c>
      <c r="F39" s="44">
        <v>220.5</v>
      </c>
      <c r="G39" s="44">
        <f t="shared" si="1"/>
        <v>67846.153846153844</v>
      </c>
      <c r="H39" s="31" t="s">
        <v>635</v>
      </c>
      <c r="I39" s="31"/>
    </row>
    <row r="40" spans="2:9" x14ac:dyDescent="0.25">
      <c r="B40" s="31">
        <v>37</v>
      </c>
      <c r="C40" s="43" t="s">
        <v>758</v>
      </c>
      <c r="D40" s="31">
        <v>167</v>
      </c>
      <c r="E40" s="31" t="s">
        <v>797</v>
      </c>
      <c r="F40" s="44">
        <v>56.2</v>
      </c>
      <c r="G40" s="44">
        <f t="shared" si="1"/>
        <v>9385.4</v>
      </c>
      <c r="H40" s="31" t="s">
        <v>635</v>
      </c>
      <c r="I40" s="31"/>
    </row>
    <row r="41" spans="2:9" x14ac:dyDescent="0.25">
      <c r="B41" s="31">
        <v>38</v>
      </c>
      <c r="C41" s="43" t="s">
        <v>762</v>
      </c>
      <c r="D41" s="31">
        <v>1000</v>
      </c>
      <c r="E41" s="31" t="s">
        <v>763</v>
      </c>
      <c r="F41" s="44">
        <v>7.3</v>
      </c>
      <c r="G41" s="44">
        <f t="shared" si="1"/>
        <v>7300</v>
      </c>
      <c r="H41" s="31" t="s">
        <v>635</v>
      </c>
      <c r="I41" s="31"/>
    </row>
    <row r="42" spans="2:9" x14ac:dyDescent="0.25">
      <c r="B42" s="31">
        <v>39</v>
      </c>
      <c r="C42" s="43" t="s">
        <v>792</v>
      </c>
      <c r="D42" s="31">
        <v>315</v>
      </c>
      <c r="E42" s="31" t="s">
        <v>759</v>
      </c>
      <c r="F42" s="44">
        <v>50</v>
      </c>
      <c r="G42" s="44">
        <f t="shared" si="1"/>
        <v>15750</v>
      </c>
      <c r="H42" s="31" t="s">
        <v>635</v>
      </c>
      <c r="I42" s="31"/>
    </row>
    <row r="43" spans="2:9" x14ac:dyDescent="0.25">
      <c r="B43" s="31">
        <v>40</v>
      </c>
      <c r="C43" s="43" t="s">
        <v>768</v>
      </c>
      <c r="D43" s="31">
        <v>1</v>
      </c>
      <c r="E43" s="31" t="s">
        <v>760</v>
      </c>
      <c r="F43" s="44">
        <v>49800</v>
      </c>
      <c r="G43" s="44">
        <f t="shared" si="1"/>
        <v>49800</v>
      </c>
      <c r="H43" s="31" t="s">
        <v>635</v>
      </c>
      <c r="I43" s="31"/>
    </row>
    <row r="44" spans="2:9" x14ac:dyDescent="0.25">
      <c r="B44" s="31">
        <v>41</v>
      </c>
      <c r="C44" s="43" t="s">
        <v>919</v>
      </c>
      <c r="D44" s="31">
        <v>1</v>
      </c>
      <c r="E44" s="31" t="s">
        <v>760</v>
      </c>
      <c r="F44" s="44">
        <v>15000</v>
      </c>
      <c r="G44" s="44">
        <f t="shared" si="1"/>
        <v>15000</v>
      </c>
      <c r="H44" s="31" t="s">
        <v>837</v>
      </c>
      <c r="I44" s="31" t="s">
        <v>919</v>
      </c>
    </row>
    <row r="45" spans="2:9" x14ac:dyDescent="0.25">
      <c r="B45" s="31">
        <v>42</v>
      </c>
      <c r="C45" s="43" t="s">
        <v>786</v>
      </c>
      <c r="D45" s="31">
        <v>1</v>
      </c>
      <c r="E45" s="31" t="s">
        <v>760</v>
      </c>
      <c r="F45" s="44">
        <v>404191.96</v>
      </c>
      <c r="G45" s="44">
        <f t="shared" si="1"/>
        <v>404191.96</v>
      </c>
      <c r="H45" s="31" t="s">
        <v>837</v>
      </c>
      <c r="I45" s="31" t="s">
        <v>786</v>
      </c>
    </row>
    <row r="46" spans="2:9" x14ac:dyDescent="0.25">
      <c r="B46" s="31">
        <v>43</v>
      </c>
      <c r="C46" s="43" t="s">
        <v>921</v>
      </c>
      <c r="D46" s="31">
        <v>1</v>
      </c>
      <c r="E46" s="31" t="s">
        <v>760</v>
      </c>
      <c r="F46" s="44">
        <v>14503</v>
      </c>
      <c r="G46" s="44">
        <f>F46*D46</f>
        <v>14503</v>
      </c>
      <c r="H46" s="31" t="s">
        <v>837</v>
      </c>
      <c r="I46" s="31" t="s">
        <v>921</v>
      </c>
    </row>
    <row r="47" spans="2:9" x14ac:dyDescent="0.25">
      <c r="B47" s="31">
        <v>44</v>
      </c>
      <c r="C47" s="49" t="s">
        <v>845</v>
      </c>
      <c r="D47" s="31">
        <v>1455.89</v>
      </c>
      <c r="E47" s="31" t="s">
        <v>761</v>
      </c>
      <c r="F47" s="44">
        <v>95.9</v>
      </c>
      <c r="G47" s="44">
        <f t="shared" si="1"/>
        <v>139619.85100000002</v>
      </c>
      <c r="H47" s="31" t="s">
        <v>791</v>
      </c>
      <c r="I47" s="31"/>
    </row>
    <row r="48" spans="2:9" x14ac:dyDescent="0.25">
      <c r="B48" s="31">
        <v>45</v>
      </c>
      <c r="C48" s="43" t="s">
        <v>846</v>
      </c>
      <c r="D48" s="31">
        <v>706.94</v>
      </c>
      <c r="E48" s="31" t="s">
        <v>761</v>
      </c>
      <c r="F48" s="44">
        <v>95.9</v>
      </c>
      <c r="G48" s="44">
        <f t="shared" si="1"/>
        <v>67795.546000000002</v>
      </c>
      <c r="H48" s="31" t="s">
        <v>791</v>
      </c>
      <c r="I48" s="31"/>
    </row>
    <row r="49" spans="2:9" x14ac:dyDescent="0.25">
      <c r="B49" s="31">
        <v>46</v>
      </c>
      <c r="C49" s="46" t="s">
        <v>847</v>
      </c>
      <c r="D49" s="31">
        <v>44</v>
      </c>
      <c r="E49" s="31" t="s">
        <v>818</v>
      </c>
      <c r="F49" s="44">
        <v>95</v>
      </c>
      <c r="G49" s="44">
        <f t="shared" si="1"/>
        <v>4180</v>
      </c>
      <c r="H49" s="31" t="s">
        <v>791</v>
      </c>
      <c r="I49" s="31"/>
    </row>
    <row r="50" spans="2:9" x14ac:dyDescent="0.25">
      <c r="B50" s="31">
        <v>47</v>
      </c>
      <c r="C50" s="46" t="s">
        <v>848</v>
      </c>
      <c r="D50" s="31">
        <v>3</v>
      </c>
      <c r="E50" s="31" t="s">
        <v>818</v>
      </c>
      <c r="F50" s="44">
        <v>35</v>
      </c>
      <c r="G50" s="44">
        <f t="shared" si="1"/>
        <v>105</v>
      </c>
      <c r="H50" s="31" t="s">
        <v>791</v>
      </c>
      <c r="I50" s="31"/>
    </row>
    <row r="51" spans="2:9" x14ac:dyDescent="0.25">
      <c r="B51" s="31">
        <v>48</v>
      </c>
      <c r="C51" s="46" t="s">
        <v>849</v>
      </c>
      <c r="D51" s="31">
        <v>126</v>
      </c>
      <c r="E51" s="31" t="s">
        <v>760</v>
      </c>
      <c r="F51" s="44">
        <v>25.9</v>
      </c>
      <c r="G51" s="44">
        <f t="shared" si="1"/>
        <v>3263.3999999999996</v>
      </c>
      <c r="H51" s="31" t="s">
        <v>791</v>
      </c>
      <c r="I51" s="31"/>
    </row>
    <row r="52" spans="2:9" x14ac:dyDescent="0.25">
      <c r="B52" s="31">
        <v>49</v>
      </c>
      <c r="C52" s="46" t="s">
        <v>817</v>
      </c>
      <c r="D52" s="31">
        <v>1</v>
      </c>
      <c r="E52" s="31" t="s">
        <v>760</v>
      </c>
      <c r="F52" s="44">
        <v>1750</v>
      </c>
      <c r="G52" s="44">
        <f>F52*D52</f>
        <v>1750</v>
      </c>
      <c r="H52" s="31" t="s">
        <v>791</v>
      </c>
      <c r="I52" s="31"/>
    </row>
    <row r="53" spans="2:9" x14ac:dyDescent="0.25">
      <c r="B53" s="31">
        <v>50</v>
      </c>
      <c r="C53" s="43" t="s">
        <v>781</v>
      </c>
      <c r="D53" s="31">
        <v>1</v>
      </c>
      <c r="E53" s="31" t="s">
        <v>760</v>
      </c>
      <c r="F53" s="44">
        <v>174417.38</v>
      </c>
      <c r="G53" s="44">
        <f>F53*D53</f>
        <v>174417.38</v>
      </c>
      <c r="H53" s="31" t="s">
        <v>780</v>
      </c>
      <c r="I53" s="31"/>
    </row>
    <row r="54" spans="2:9" x14ac:dyDescent="0.25">
      <c r="B54" s="31">
        <v>51</v>
      </c>
      <c r="C54" s="32" t="s">
        <v>814</v>
      </c>
      <c r="D54" s="33">
        <v>1</v>
      </c>
      <c r="E54" s="33" t="s">
        <v>760</v>
      </c>
      <c r="F54" s="25">
        <v>5000</v>
      </c>
      <c r="G54" s="25">
        <f>F54*D54</f>
        <v>5000</v>
      </c>
      <c r="H54" s="33" t="s">
        <v>815</v>
      </c>
      <c r="I54" s="31"/>
    </row>
    <row r="55" spans="2:9" x14ac:dyDescent="0.25">
      <c r="B55" s="33"/>
      <c r="C55" s="32"/>
      <c r="D55" s="33"/>
      <c r="E55" s="33"/>
      <c r="F55" s="20"/>
      <c r="G55" s="20"/>
      <c r="H55" s="33"/>
      <c r="I55" s="33"/>
    </row>
    <row r="56" spans="2:9" x14ac:dyDescent="0.25">
      <c r="B56" s="33"/>
      <c r="C56" s="32"/>
      <c r="D56" s="33"/>
      <c r="E56" s="33"/>
      <c r="H56" s="33"/>
      <c r="I56" s="33"/>
    </row>
    <row r="57" spans="2:9" x14ac:dyDescent="0.25">
      <c r="G57" s="16">
        <f>SUM(Tabela2[Preço Total])</f>
        <v>3195411.5038461541</v>
      </c>
    </row>
    <row r="83" spans="8:9" x14ac:dyDescent="0.25">
      <c r="H83" s="26">
        <f>SUM('Expansão DMP'!G57,H79)</f>
        <v>3195411.5038461541</v>
      </c>
      <c r="I83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"/>
  <sheetViews>
    <sheetView tabSelected="1" workbookViewId="0">
      <selection activeCell="D13" sqref="D13"/>
    </sheetView>
  </sheetViews>
  <sheetFormatPr defaultRowHeight="15" x14ac:dyDescent="0.25"/>
  <cols>
    <col min="1" max="1" width="19.42578125" bestFit="1" customWidth="1"/>
  </cols>
  <sheetData>
    <row r="2" spans="1:2" x14ac:dyDescent="0.25">
      <c r="A2" s="20" t="s">
        <v>927</v>
      </c>
      <c r="B2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DMP'!G57</f>
        <v>3195411.5038461541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0.38206336446198724</v>
      </c>
      <c r="F7" s="41">
        <f>E7</f>
        <v>0.38206336446198724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0.38206336446198724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0.38206336446198724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0.11301566430848679</v>
      </c>
      <c r="F10" s="41">
        <f t="shared" si="1"/>
        <v>0.49507902877047405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6.782030944657759E-2</v>
      </c>
      <c r="F11" s="41">
        <f t="shared" si="1"/>
        <v>0.56289933821705163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5.4583699091670254E-2</v>
      </c>
      <c r="F12" s="41">
        <f t="shared" si="1"/>
        <v>0.61748303730872189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5.1429995730500534E-2</v>
      </c>
      <c r="F13" s="41">
        <f t="shared" si="1"/>
        <v>0.66891303303922245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2.4766254019160026E-2</v>
      </c>
      <c r="F14" s="41">
        <f t="shared" si="1"/>
        <v>0.69367928705838244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6.7680422299190787E-3</v>
      </c>
      <c r="F15" s="41">
        <f t="shared" si="1"/>
        <v>0.70044732928830156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5.7950564356770073E-3</v>
      </c>
      <c r="F16" s="41">
        <f t="shared" si="1"/>
        <v>0.70624238572397857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2.0942373124541988E-2</v>
      </c>
      <c r="F17" s="41">
        <f t="shared" si="1"/>
        <v>0.72718475884852052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1.6586283155144994E-3</v>
      </c>
      <c r="F18" s="41">
        <f t="shared" si="1"/>
        <v>0.72884338716403507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1.5647436938816032E-3</v>
      </c>
      <c r="F19" s="41">
        <f t="shared" si="1"/>
        <v>0.73040813085791667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0</v>
      </c>
      <c r="E20" s="41">
        <f t="shared" si="0"/>
        <v>0</v>
      </c>
      <c r="F20" s="41">
        <f t="shared" si="1"/>
        <v>0.73040813085791667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EAP_Cronograma</vt:lpstr>
      <vt:lpstr>DPA IV</vt:lpstr>
      <vt:lpstr> ABC DPA IV</vt:lpstr>
      <vt:lpstr>Expansão DMP</vt:lpstr>
      <vt:lpstr>Prazo de Execução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Gean Carlos de Sousa Fernandes</cp:lastModifiedBy>
  <cp:lastPrinted>2026-09-23T12:16:23Z</cp:lastPrinted>
  <dcterms:created xsi:type="dcterms:W3CDTF">2026-09-17T11:57:48Z</dcterms:created>
  <dcterms:modified xsi:type="dcterms:W3CDTF">2026-10-22T17:58:27Z</dcterms:modified>
</cp:coreProperties>
</file>