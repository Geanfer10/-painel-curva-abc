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13" i="6" l="1"/>
  <c r="O8" i="6" l="1"/>
  <c r="O17" i="6"/>
  <c r="O16" i="6"/>
  <c r="H7" i="6"/>
  <c r="H9" i="6"/>
  <c r="H10" i="6"/>
  <c r="O9" i="6" s="1"/>
  <c r="H11" i="6"/>
  <c r="H12" i="6"/>
  <c r="H14" i="6"/>
  <c r="H15" i="6"/>
  <c r="H16" i="6"/>
  <c r="H17" i="6"/>
  <c r="O14" i="6" s="1"/>
  <c r="H18" i="6"/>
  <c r="O5" i="6" s="1"/>
  <c r="H19" i="6"/>
  <c r="H20" i="6"/>
  <c r="O11" i="6" s="1"/>
  <c r="H21" i="6"/>
  <c r="H22" i="6"/>
  <c r="O6" i="6" s="1"/>
  <c r="H23" i="6"/>
  <c r="H24" i="6"/>
  <c r="O12" i="6" s="1"/>
  <c r="H25" i="6"/>
  <c r="H26" i="6"/>
  <c r="H27" i="6"/>
  <c r="H28" i="6"/>
  <c r="H29" i="6"/>
  <c r="H30" i="6"/>
  <c r="O15" i="6" s="1"/>
  <c r="H31" i="6"/>
  <c r="H32" i="6"/>
  <c r="H33" i="6"/>
  <c r="H34" i="6"/>
  <c r="H35" i="6"/>
  <c r="H36" i="6"/>
  <c r="H37" i="6"/>
  <c r="H38" i="6"/>
  <c r="H39" i="6"/>
  <c r="H40" i="6"/>
  <c r="H41" i="6"/>
  <c r="H42" i="6"/>
  <c r="H45" i="6"/>
  <c r="J14" i="3"/>
  <c r="O10" i="6" l="1"/>
  <c r="G43" i="3"/>
  <c r="E4" i="6"/>
  <c r="H4" i="6" s="1"/>
  <c r="O7" i="6" s="1"/>
  <c r="E5" i="6"/>
  <c r="H5" i="6" s="1"/>
  <c r="E8" i="6"/>
  <c r="H8" i="6" s="1"/>
  <c r="E6" i="6"/>
  <c r="H6" i="6" s="1"/>
  <c r="E44" i="6"/>
  <c r="H44" i="6" s="1"/>
  <c r="E43" i="6"/>
  <c r="H43" i="6" s="1"/>
  <c r="G42" i="3"/>
  <c r="J15" i="3" s="1"/>
  <c r="O19" i="6" l="1"/>
  <c r="P11" i="6" s="1"/>
  <c r="G15" i="3"/>
  <c r="G4" i="3"/>
  <c r="G20" i="3"/>
  <c r="G21" i="3"/>
  <c r="G22" i="3"/>
  <c r="G23" i="3"/>
  <c r="G19" i="3"/>
  <c r="P7" i="6" l="1"/>
  <c r="P10" i="6"/>
  <c r="P6" i="6"/>
  <c r="P16" i="6"/>
  <c r="P9" i="6"/>
  <c r="P15" i="6"/>
  <c r="P14" i="6"/>
  <c r="P8" i="6"/>
  <c r="P17" i="6"/>
  <c r="P12" i="6"/>
  <c r="P5" i="6"/>
  <c r="Q5" i="6" s="1"/>
  <c r="G11" i="3"/>
  <c r="D5" i="3"/>
  <c r="G41" i="3"/>
  <c r="Q6" i="6" l="1"/>
  <c r="H48" i="6"/>
  <c r="G40" i="3"/>
  <c r="G39" i="3"/>
  <c r="G38" i="3"/>
  <c r="G37" i="3"/>
  <c r="J13" i="3" s="1"/>
  <c r="G36" i="3"/>
  <c r="G35" i="3"/>
  <c r="J12" i="3" s="1"/>
  <c r="G34" i="3"/>
  <c r="G33" i="3"/>
  <c r="G32" i="3"/>
  <c r="G31" i="3"/>
  <c r="G30" i="3"/>
  <c r="G29" i="3"/>
  <c r="D6" i="3"/>
  <c r="J11" i="3" l="1"/>
  <c r="G18" i="3"/>
  <c r="J7" i="3" s="1"/>
  <c r="G24" i="3"/>
  <c r="G25" i="3"/>
  <c r="J8" i="3" s="1"/>
  <c r="G26" i="3"/>
  <c r="J9" i="3" s="1"/>
  <c r="G27" i="3"/>
  <c r="J10" i="3" s="1"/>
  <c r="G28" i="3"/>
  <c r="G6" i="3"/>
  <c r="G7" i="3"/>
  <c r="G8" i="3"/>
  <c r="G9" i="3"/>
  <c r="G10" i="3"/>
  <c r="G12" i="3"/>
  <c r="G13" i="3"/>
  <c r="G14" i="3"/>
  <c r="J6" i="3" s="1"/>
  <c r="G16" i="3"/>
  <c r="G17" i="3"/>
  <c r="G5" i="3"/>
  <c r="J4" i="3" l="1"/>
  <c r="J5" i="3"/>
  <c r="G46" i="3"/>
</calcChain>
</file>

<file path=xl/sharedStrings.xml><?xml version="1.0" encoding="utf-8"?>
<sst xmlns="http://schemas.openxmlformats.org/spreadsheetml/2006/main" count="2087" uniqueCount="843">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</sst>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5" totalsRowShown="0" dataDxfId="8">
  <autoFilter ref="B3:I45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tabSelected="1" workbookViewId="0">
      <selection activeCell="E23" sqref="E23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832</v>
      </c>
    </row>
    <row r="4" spans="2:10" s="14" customFormat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186000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822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841</v>
      </c>
      <c r="D15" s="17">
        <v>1</v>
      </c>
      <c r="E15" s="17" t="s">
        <v>760</v>
      </c>
      <c r="F15" s="20">
        <v>180000</v>
      </c>
      <c r="G15" s="20">
        <f>F15*D15</f>
        <v>180000</v>
      </c>
      <c r="H15" s="17" t="s">
        <v>771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783</v>
      </c>
      <c r="D31" s="24"/>
      <c r="E31" s="24"/>
      <c r="F31" s="26"/>
      <c r="G31" s="26">
        <f t="shared" si="2"/>
        <v>0</v>
      </c>
      <c r="H31" s="24" t="s">
        <v>776</v>
      </c>
    </row>
    <row r="32" spans="2:9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x14ac:dyDescent="0.25">
      <c r="B42" s="27">
        <v>39</v>
      </c>
      <c r="C42" s="25" t="s">
        <v>814</v>
      </c>
      <c r="D42" s="24">
        <v>1</v>
      </c>
      <c r="E42" s="24" t="s">
        <v>760</v>
      </c>
      <c r="F42" s="26"/>
      <c r="G42" s="26">
        <f>F42*D42</f>
        <v>0</v>
      </c>
      <c r="H42" s="24" t="s">
        <v>815</v>
      </c>
    </row>
    <row r="43" spans="2:8" x14ac:dyDescent="0.25">
      <c r="B43" s="24"/>
      <c r="C43" s="25" t="s">
        <v>827</v>
      </c>
      <c r="D43" s="24">
        <v>1</v>
      </c>
      <c r="E43" s="24" t="s">
        <v>760</v>
      </c>
      <c r="F43" s="26"/>
      <c r="G43" s="26">
        <f>F43*D43</f>
        <v>0</v>
      </c>
      <c r="H43" s="24" t="s">
        <v>815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2055005.0538461539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8"/>
  <sheetViews>
    <sheetView workbookViewId="0">
      <selection activeCell="L19" sqref="L19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838</v>
      </c>
    </row>
    <row r="2" spans="2:18" x14ac:dyDescent="0.25">
      <c r="P2" s="14" t="s">
        <v>839</v>
      </c>
    </row>
    <row r="3" spans="2:18" s="14" customFormat="1" x14ac:dyDescent="0.25">
      <c r="B3" s="14" t="s">
        <v>753</v>
      </c>
      <c r="C3" s="14" t="s">
        <v>817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840</v>
      </c>
    </row>
    <row r="4" spans="2:18" x14ac:dyDescent="0.25">
      <c r="B4" s="17">
        <v>1</v>
      </c>
      <c r="C4" s="17" t="s">
        <v>818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832</v>
      </c>
      <c r="P4" s="14" t="s">
        <v>834</v>
      </c>
      <c r="Q4" s="14" t="s">
        <v>835</v>
      </c>
      <c r="R4" s="14" t="s">
        <v>836</v>
      </c>
    </row>
    <row r="5" spans="2:18" x14ac:dyDescent="0.25">
      <c r="B5" s="17">
        <v>2</v>
      </c>
      <c r="C5" s="17" t="s">
        <v>818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6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O5/$O$19</f>
        <v>0.33062288469044115</v>
      </c>
      <c r="Q5" s="46">
        <f>P5</f>
        <v>0.33062288469044115</v>
      </c>
      <c r="R5" t="s">
        <v>837</v>
      </c>
    </row>
    <row r="6" spans="2:18" x14ac:dyDescent="0.25">
      <c r="B6" s="17">
        <v>3</v>
      </c>
      <c r="C6" s="17" t="s">
        <v>818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837</v>
      </c>
    </row>
    <row r="7" spans="2:18" x14ac:dyDescent="0.25">
      <c r="B7" s="17">
        <v>4</v>
      </c>
      <c r="C7" s="17" t="s">
        <v>818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818</v>
      </c>
      <c r="D8" s="18" t="s">
        <v>824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823</v>
      </c>
      <c r="N8" s="45" t="s">
        <v>815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818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821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818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818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818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/>
      <c r="C13" s="17" t="s">
        <v>818</v>
      </c>
      <c r="D13" s="18" t="s">
        <v>842</v>
      </c>
      <c r="E13" s="17">
        <v>1</v>
      </c>
      <c r="F13" s="17" t="s">
        <v>760</v>
      </c>
      <c r="G13" s="20">
        <v>164000</v>
      </c>
      <c r="H13" s="20">
        <f>G13*E13</f>
        <v>164000</v>
      </c>
      <c r="I13" s="17" t="s">
        <v>771</v>
      </c>
      <c r="N13" s="41"/>
      <c r="O13" s="40"/>
      <c r="P13" s="44"/>
    </row>
    <row r="14" spans="2:18" x14ac:dyDescent="0.25">
      <c r="B14" s="17">
        <v>10</v>
      </c>
      <c r="C14" s="17" t="s">
        <v>818</v>
      </c>
      <c r="D14" s="18" t="s">
        <v>773</v>
      </c>
      <c r="E14" s="17">
        <v>1</v>
      </c>
      <c r="F14" s="17" t="s">
        <v>760</v>
      </c>
      <c r="G14" s="20">
        <v>968004</v>
      </c>
      <c r="H14" s="20">
        <f t="shared" si="0"/>
        <v>968004</v>
      </c>
      <c r="I14" s="17" t="s">
        <v>772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11</v>
      </c>
      <c r="C15" s="17" t="s">
        <v>818</v>
      </c>
      <c r="D15" s="18" t="s">
        <v>774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12</v>
      </c>
      <c r="C16" s="17" t="s">
        <v>818</v>
      </c>
      <c r="D16" s="18" t="s">
        <v>775</v>
      </c>
      <c r="E16" s="17"/>
      <c r="F16" s="17"/>
      <c r="G16" s="20"/>
      <c r="H16" s="20">
        <f t="shared" si="0"/>
        <v>0</v>
      </c>
      <c r="I16" s="17" t="s">
        <v>771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13</v>
      </c>
      <c r="C17" s="17" t="s">
        <v>818</v>
      </c>
      <c r="D17" s="21" t="s">
        <v>798</v>
      </c>
      <c r="E17" s="22"/>
      <c r="F17" s="22"/>
      <c r="G17" s="19"/>
      <c r="H17" s="19">
        <f t="shared" si="0"/>
        <v>0</v>
      </c>
      <c r="I17" s="22" t="s">
        <v>776</v>
      </c>
      <c r="N17" s="41" t="s">
        <v>826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14</v>
      </c>
      <c r="C18" s="17" t="s">
        <v>818</v>
      </c>
      <c r="D18" s="21" t="s">
        <v>799</v>
      </c>
      <c r="E18" s="22"/>
      <c r="F18" s="22"/>
      <c r="G18" s="19"/>
      <c r="H18" s="19">
        <f>G18*E18</f>
        <v>0</v>
      </c>
      <c r="I18" s="17" t="s">
        <v>772</v>
      </c>
    </row>
    <row r="19" spans="2:16" x14ac:dyDescent="0.25">
      <c r="B19" s="17">
        <v>15</v>
      </c>
      <c r="C19" s="17" t="s">
        <v>818</v>
      </c>
      <c r="D19" s="21" t="s">
        <v>777</v>
      </c>
      <c r="E19" s="22"/>
      <c r="F19" s="22"/>
      <c r="G19" s="19"/>
      <c r="H19" s="19">
        <f t="shared" si="0"/>
        <v>0</v>
      </c>
      <c r="I19" s="22" t="s">
        <v>776</v>
      </c>
      <c r="N19" s="41" t="s">
        <v>833</v>
      </c>
      <c r="O19" s="43">
        <f>SUM(O5:O17)</f>
        <v>2927819.11</v>
      </c>
    </row>
    <row r="20" spans="2:16" x14ac:dyDescent="0.25">
      <c r="B20" s="17">
        <v>16</v>
      </c>
      <c r="C20" s="17" t="s">
        <v>818</v>
      </c>
      <c r="D20" s="21" t="s">
        <v>779</v>
      </c>
      <c r="E20" s="22"/>
      <c r="F20" s="22"/>
      <c r="G20" s="19"/>
      <c r="H20" s="19">
        <f t="shared" si="0"/>
        <v>0</v>
      </c>
      <c r="I20" s="22" t="s">
        <v>787</v>
      </c>
    </row>
    <row r="21" spans="2:16" x14ac:dyDescent="0.25">
      <c r="B21" s="17">
        <v>17</v>
      </c>
      <c r="C21" s="17" t="s">
        <v>818</v>
      </c>
      <c r="D21" s="21" t="s">
        <v>797</v>
      </c>
      <c r="E21" s="22"/>
      <c r="F21" s="22"/>
      <c r="G21" s="19"/>
      <c r="H21" s="19">
        <f t="shared" si="0"/>
        <v>0</v>
      </c>
      <c r="I21" s="22" t="s">
        <v>419</v>
      </c>
    </row>
    <row r="22" spans="2:16" x14ac:dyDescent="0.25">
      <c r="B22" s="17">
        <v>18</v>
      </c>
      <c r="C22" s="17" t="s">
        <v>818</v>
      </c>
      <c r="D22" s="21" t="s">
        <v>789</v>
      </c>
      <c r="E22" s="22">
        <v>1</v>
      </c>
      <c r="F22" s="22" t="s">
        <v>760</v>
      </c>
      <c r="G22" s="19">
        <v>791792.51</v>
      </c>
      <c r="H22" s="19">
        <f t="shared" si="0"/>
        <v>791792.51</v>
      </c>
      <c r="I22" s="22" t="s">
        <v>788</v>
      </c>
    </row>
    <row r="23" spans="2:16" x14ac:dyDescent="0.25">
      <c r="B23" s="17">
        <v>19</v>
      </c>
      <c r="C23" s="17" t="s">
        <v>818</v>
      </c>
      <c r="D23" s="21" t="s">
        <v>780</v>
      </c>
      <c r="E23" s="22"/>
      <c r="F23" s="22"/>
      <c r="G23" s="19"/>
      <c r="H23" s="19">
        <f t="shared" si="0"/>
        <v>0</v>
      </c>
      <c r="I23" s="22" t="s">
        <v>771</v>
      </c>
    </row>
    <row r="24" spans="2:16" x14ac:dyDescent="0.25">
      <c r="B24" s="17">
        <v>20</v>
      </c>
      <c r="C24" s="17" t="s">
        <v>818</v>
      </c>
      <c r="D24" s="21" t="s">
        <v>781</v>
      </c>
      <c r="E24" s="22"/>
      <c r="F24" s="22"/>
      <c r="G24" s="19"/>
      <c r="H24" s="19">
        <f t="shared" si="0"/>
        <v>0</v>
      </c>
      <c r="I24" s="22" t="s">
        <v>449</v>
      </c>
    </row>
    <row r="25" spans="2:16" x14ac:dyDescent="0.25">
      <c r="B25" s="17">
        <v>21</v>
      </c>
      <c r="C25" s="17" t="s">
        <v>818</v>
      </c>
      <c r="D25" s="21" t="s">
        <v>782</v>
      </c>
      <c r="E25" s="22"/>
      <c r="F25" s="22"/>
      <c r="G25" s="19"/>
      <c r="H25" s="19">
        <f t="shared" si="0"/>
        <v>0</v>
      </c>
      <c r="I25" s="22" t="s">
        <v>449</v>
      </c>
    </row>
    <row r="26" spans="2:16" x14ac:dyDescent="0.25">
      <c r="B26" s="17">
        <v>22</v>
      </c>
      <c r="C26" s="17" t="s">
        <v>818</v>
      </c>
      <c r="D26" s="25" t="s">
        <v>783</v>
      </c>
      <c r="E26" s="24"/>
      <c r="F26" s="24"/>
      <c r="G26" s="26"/>
      <c r="H26" s="26">
        <f t="shared" si="0"/>
        <v>0</v>
      </c>
      <c r="I26" s="24" t="s">
        <v>776</v>
      </c>
    </row>
    <row r="27" spans="2:16" x14ac:dyDescent="0.25">
      <c r="B27" s="17">
        <v>23</v>
      </c>
      <c r="C27" s="17" t="s">
        <v>818</v>
      </c>
      <c r="D27" s="25" t="s">
        <v>784</v>
      </c>
      <c r="E27" s="24"/>
      <c r="F27" s="24"/>
      <c r="G27" s="26"/>
      <c r="H27" s="26">
        <f t="shared" si="0"/>
        <v>0</v>
      </c>
      <c r="I27" s="24" t="s">
        <v>776</v>
      </c>
    </row>
    <row r="28" spans="2:16" x14ac:dyDescent="0.25">
      <c r="B28" s="17">
        <v>24</v>
      </c>
      <c r="C28" s="17" t="s">
        <v>818</v>
      </c>
      <c r="D28" s="25" t="s">
        <v>785</v>
      </c>
      <c r="E28" s="24"/>
      <c r="F28" s="24"/>
      <c r="G28" s="26"/>
      <c r="H28" s="26">
        <f t="shared" si="0"/>
        <v>0</v>
      </c>
      <c r="I28" s="24" t="s">
        <v>776</v>
      </c>
    </row>
    <row r="29" spans="2:16" x14ac:dyDescent="0.25">
      <c r="B29" s="17">
        <v>25</v>
      </c>
      <c r="C29" s="17" t="s">
        <v>818</v>
      </c>
      <c r="D29" s="25" t="s">
        <v>830</v>
      </c>
      <c r="E29" s="24">
        <v>1</v>
      </c>
      <c r="F29" s="24"/>
      <c r="G29" s="26"/>
      <c r="H29" s="26">
        <f t="shared" si="0"/>
        <v>0</v>
      </c>
      <c r="I29" s="24" t="s">
        <v>776</v>
      </c>
    </row>
    <row r="30" spans="2:16" x14ac:dyDescent="0.25">
      <c r="B30" s="17">
        <v>26</v>
      </c>
      <c r="C30" s="17" t="s">
        <v>818</v>
      </c>
      <c r="D30" s="25" t="s">
        <v>795</v>
      </c>
      <c r="E30" s="24">
        <v>10</v>
      </c>
      <c r="F30" s="24"/>
      <c r="G30" s="26"/>
      <c r="H30" s="26">
        <f t="shared" si="0"/>
        <v>0</v>
      </c>
      <c r="I30" s="24" t="s">
        <v>643</v>
      </c>
    </row>
    <row r="31" spans="2:16" x14ac:dyDescent="0.25">
      <c r="B31" s="17">
        <v>27</v>
      </c>
      <c r="C31" s="17" t="s">
        <v>818</v>
      </c>
      <c r="D31" s="25" t="s">
        <v>796</v>
      </c>
      <c r="E31" s="24">
        <v>500</v>
      </c>
      <c r="F31" s="24" t="s">
        <v>761</v>
      </c>
      <c r="G31" s="26"/>
      <c r="H31" s="26">
        <f t="shared" si="0"/>
        <v>0</v>
      </c>
      <c r="I31" s="24" t="s">
        <v>643</v>
      </c>
    </row>
    <row r="32" spans="2:16" x14ac:dyDescent="0.25">
      <c r="B32" s="17"/>
      <c r="C32" s="17" t="s">
        <v>818</v>
      </c>
      <c r="D32" s="25" t="s">
        <v>825</v>
      </c>
      <c r="E32" s="24"/>
      <c r="F32" s="24"/>
      <c r="G32" s="26"/>
      <c r="H32" s="26">
        <f>G32*E32</f>
        <v>0</v>
      </c>
      <c r="I32" s="24" t="s">
        <v>643</v>
      </c>
    </row>
    <row r="33" spans="2:9" x14ac:dyDescent="0.25">
      <c r="B33" s="17">
        <v>28</v>
      </c>
      <c r="C33" s="17" t="s">
        <v>818</v>
      </c>
      <c r="D33" s="25" t="s">
        <v>790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29</v>
      </c>
      <c r="C34" s="17" t="s">
        <v>818</v>
      </c>
      <c r="D34" s="25" t="s">
        <v>791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30</v>
      </c>
      <c r="C35" s="17" t="s">
        <v>818</v>
      </c>
      <c r="D35" s="25" t="s">
        <v>792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31</v>
      </c>
      <c r="C36" s="17" t="s">
        <v>818</v>
      </c>
      <c r="D36" s="25" t="s">
        <v>793</v>
      </c>
      <c r="E36" s="24"/>
      <c r="F36" s="24"/>
      <c r="G36" s="26"/>
      <c r="H36" s="26">
        <f t="shared" si="0"/>
        <v>0</v>
      </c>
      <c r="I36" s="24" t="s">
        <v>576</v>
      </c>
    </row>
    <row r="37" spans="2:9" x14ac:dyDescent="0.25">
      <c r="B37" s="17">
        <v>32</v>
      </c>
      <c r="C37" s="17" t="s">
        <v>818</v>
      </c>
      <c r="D37" s="25" t="s">
        <v>800</v>
      </c>
      <c r="E37" s="24"/>
      <c r="F37" s="24"/>
      <c r="G37" s="26"/>
      <c r="H37" s="26">
        <f>G37*E37</f>
        <v>0</v>
      </c>
      <c r="I37" s="24" t="s">
        <v>826</v>
      </c>
    </row>
    <row r="38" spans="2:9" x14ac:dyDescent="0.25">
      <c r="B38" s="17">
        <v>33</v>
      </c>
      <c r="C38" s="17" t="s">
        <v>819</v>
      </c>
      <c r="D38" s="25" t="s">
        <v>813</v>
      </c>
      <c r="E38" s="24">
        <v>1</v>
      </c>
      <c r="F38" s="24" t="s">
        <v>760</v>
      </c>
      <c r="G38" s="26">
        <v>46600</v>
      </c>
      <c r="H38" s="26">
        <f t="shared" ref="H38:H41" si="2">G38*E38</f>
        <v>46600</v>
      </c>
      <c r="I38" s="24" t="s">
        <v>815</v>
      </c>
    </row>
    <row r="39" spans="2:9" x14ac:dyDescent="0.25">
      <c r="B39" s="17">
        <v>34</v>
      </c>
      <c r="C39" s="17" t="s">
        <v>819</v>
      </c>
      <c r="D39" s="25" t="s">
        <v>816</v>
      </c>
      <c r="E39" s="24">
        <v>1</v>
      </c>
      <c r="F39" s="24" t="s">
        <v>760</v>
      </c>
      <c r="G39" s="26">
        <v>8100</v>
      </c>
      <c r="H39" s="26">
        <f>G39*E39</f>
        <v>8100</v>
      </c>
      <c r="I39" s="24" t="s">
        <v>815</v>
      </c>
    </row>
    <row r="40" spans="2:9" x14ac:dyDescent="0.25">
      <c r="B40" s="17">
        <v>35</v>
      </c>
      <c r="C40" s="17" t="s">
        <v>819</v>
      </c>
      <c r="D40" s="25" t="s">
        <v>831</v>
      </c>
      <c r="E40" s="24">
        <v>1</v>
      </c>
      <c r="F40" s="24" t="s">
        <v>760</v>
      </c>
      <c r="G40" s="26">
        <v>5000</v>
      </c>
      <c r="H40" s="26">
        <f>G40*E40</f>
        <v>5000</v>
      </c>
      <c r="I40" s="24" t="s">
        <v>815</v>
      </c>
    </row>
    <row r="41" spans="2:9" x14ac:dyDescent="0.25">
      <c r="B41" s="17">
        <v>36</v>
      </c>
      <c r="C41" s="17" t="s">
        <v>819</v>
      </c>
      <c r="D41" s="25" t="s">
        <v>820</v>
      </c>
      <c r="E41" s="24">
        <v>1</v>
      </c>
      <c r="F41" s="24" t="s">
        <v>760</v>
      </c>
      <c r="G41" s="26">
        <v>298777</v>
      </c>
      <c r="H41" s="26">
        <f t="shared" si="2"/>
        <v>298777</v>
      </c>
      <c r="I41" s="24" t="s">
        <v>815</v>
      </c>
    </row>
    <row r="42" spans="2:9" x14ac:dyDescent="0.25">
      <c r="B42" s="17">
        <v>37</v>
      </c>
      <c r="C42" s="34" t="s">
        <v>819</v>
      </c>
      <c r="D42" s="25" t="s">
        <v>829</v>
      </c>
      <c r="E42" s="24">
        <v>110</v>
      </c>
      <c r="F42" s="24" t="s">
        <v>760</v>
      </c>
      <c r="G42" s="26"/>
      <c r="H42" s="26">
        <f>G42*E42</f>
        <v>0</v>
      </c>
      <c r="I42" s="24" t="s">
        <v>635</v>
      </c>
    </row>
    <row r="43" spans="2:9" x14ac:dyDescent="0.25">
      <c r="B43" s="17">
        <v>38</v>
      </c>
      <c r="C43" s="34" t="s">
        <v>819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 t="shared" ref="H43:H44" si="3">G43*E43</f>
        <v>188256.59999999998</v>
      </c>
      <c r="I43" s="24" t="s">
        <v>635</v>
      </c>
    </row>
    <row r="44" spans="2:9" x14ac:dyDescent="0.25">
      <c r="B44" s="17">
        <v>40</v>
      </c>
      <c r="C44" s="34" t="s">
        <v>819</v>
      </c>
      <c r="D44" s="18" t="s">
        <v>778</v>
      </c>
      <c r="E44" s="35">
        <f>1784/13</f>
        <v>137.23076923076923</v>
      </c>
      <c r="F44" s="24" t="s">
        <v>760</v>
      </c>
      <c r="G44" s="26">
        <v>220.5</v>
      </c>
      <c r="H44" s="26">
        <f t="shared" si="3"/>
        <v>30259.384615384613</v>
      </c>
      <c r="I44" s="24" t="s">
        <v>635</v>
      </c>
    </row>
    <row r="45" spans="2:9" x14ac:dyDescent="0.25">
      <c r="B45" s="17">
        <v>41</v>
      </c>
      <c r="C45" s="34" t="s">
        <v>819</v>
      </c>
      <c r="D45" s="25" t="s">
        <v>828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</row>
    <row r="46" spans="2:9" x14ac:dyDescent="0.25">
      <c r="B46" s="24"/>
      <c r="C46" s="34"/>
      <c r="D46" s="25"/>
      <c r="E46" s="24"/>
      <c r="F46" s="24"/>
      <c r="G46" s="26"/>
      <c r="H46" s="26"/>
      <c r="I46" s="25"/>
    </row>
    <row r="47" spans="2:9" x14ac:dyDescent="0.25">
      <c r="B47" s="24"/>
      <c r="C47" s="34"/>
      <c r="D47" s="39"/>
      <c r="E47" s="24"/>
      <c r="F47" s="24"/>
      <c r="G47" s="26"/>
      <c r="H47" s="26"/>
      <c r="I47" s="25"/>
    </row>
    <row r="48" spans="2:9" x14ac:dyDescent="0.25">
      <c r="D48" s="38"/>
      <c r="H48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2026-10-05T15:04:59Z</dcterms:modified>
</cp:coreProperties>
</file>