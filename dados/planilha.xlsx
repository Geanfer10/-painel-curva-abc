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2" i="6"/>
  <c r="H59" i="6"/>
  <c r="H60" i="6"/>
  <c r="E12" i="6"/>
  <c r="E11" i="6"/>
  <c r="E10" i="6"/>
  <c r="H10" i="6"/>
  <c r="H11" i="6"/>
  <c r="H12" i="6"/>
  <c r="O12" i="6"/>
  <c r="E48" i="6"/>
  <c r="E47" i="6"/>
  <c r="H67" i="6"/>
  <c r="H66" i="6"/>
  <c r="H32" i="6"/>
  <c r="H65" i="6"/>
  <c r="H64" i="6"/>
  <c r="H9" i="6"/>
  <c r="H46" i="6"/>
  <c r="H68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20" i="6"/>
  <c r="H5" i="6"/>
  <c r="O11" i="6" s="1"/>
  <c r="H57" i="6"/>
  <c r="H63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20" i="6" s="1"/>
  <c r="H53" i="6"/>
  <c r="H54" i="6"/>
  <c r="H55" i="6"/>
  <c r="H56" i="6"/>
  <c r="H45" i="6"/>
  <c r="H49" i="6"/>
  <c r="J14" i="3"/>
  <c r="O15" i="6" l="1"/>
  <c r="O8" i="6"/>
  <c r="O5" i="6"/>
  <c r="O19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9" i="6"/>
  <c r="P9" i="6"/>
  <c r="P15" i="6"/>
  <c r="P14" i="6"/>
  <c r="P8" i="6"/>
  <c r="P20" i="6"/>
  <c r="P5" i="6"/>
  <c r="Q5" i="6" s="1"/>
  <c r="G19" i="3"/>
  <c r="D30" i="3"/>
  <c r="G11" i="3"/>
  <c r="Q6" i="6" l="1"/>
  <c r="H71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<sst xmlns="http://schemas.openxmlformats.org/spreadsheetml/2006/main" count="2180" uniqueCount="879">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</sst>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0" fontId="3" fillId="0" borderId="0" xfId="0" applyFont="1" applyFill="1" applyAlignment="1">
      <alignment wrapText="1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8" totalsRowShown="0" headerRowDxfId="0" dataDxfId="17">
  <autoFilter ref="B3:I68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1"/>
  <sheetViews>
    <sheetView tabSelected="1" workbookViewId="0">
      <selection activeCell="D67" sqref="D67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/>
      <c r="O16" s="35"/>
      <c r="P16" s="39"/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/>
      <c r="O17" s="35"/>
      <c r="P17" s="39"/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>O19/$O$24</f>
        <v>0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  <c r="N20" s="36" t="s">
        <v>812</v>
      </c>
      <c r="O20" s="35">
        <f>SUMIF(Tabela24[Aplicação],"Armazenamento",Tabela24[Preço Total])</f>
        <v>0</v>
      </c>
      <c r="P20" s="39">
        <f>O20/$O$24</f>
        <v>0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SUM(O5:O20)</f>
        <v>2822109.0231376002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806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806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806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806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806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867</v>
      </c>
    </row>
    <row r="40" spans="2:9" x14ac:dyDescent="0.25">
      <c r="B40" s="20">
        <v>37</v>
      </c>
      <c r="C40" s="24" t="s">
        <v>806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867</v>
      </c>
    </row>
    <row r="41" spans="2:9" x14ac:dyDescent="0.25">
      <c r="B41" s="20">
        <v>38</v>
      </c>
      <c r="C41" s="24" t="s">
        <v>806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867</v>
      </c>
    </row>
    <row r="42" spans="2:9" x14ac:dyDescent="0.25">
      <c r="B42" s="20">
        <v>39</v>
      </c>
      <c r="C42" s="24" t="s">
        <v>806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867</v>
      </c>
    </row>
    <row r="43" spans="2:9" x14ac:dyDescent="0.25">
      <c r="B43" s="20">
        <v>40</v>
      </c>
      <c r="C43" s="17" t="s">
        <v>806</v>
      </c>
      <c r="D43" s="28" t="s">
        <v>810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867</v>
      </c>
    </row>
    <row r="44" spans="2:9" x14ac:dyDescent="0.25">
      <c r="B44" s="20">
        <v>41</v>
      </c>
      <c r="C44" s="17" t="s">
        <v>806</v>
      </c>
      <c r="D44" s="28" t="s">
        <v>858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867</v>
      </c>
    </row>
    <row r="45" spans="2:9" x14ac:dyDescent="0.25">
      <c r="B45" s="20">
        <v>42</v>
      </c>
      <c r="C45" s="31" t="s">
        <v>807</v>
      </c>
      <c r="D45" s="43" t="s">
        <v>814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865</v>
      </c>
    </row>
    <row r="46" spans="2:9" x14ac:dyDescent="0.25">
      <c r="B46" s="20">
        <v>43</v>
      </c>
      <c r="C46" s="31"/>
      <c r="D46" s="43" t="s">
        <v>866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865</v>
      </c>
    </row>
    <row r="47" spans="2:9" x14ac:dyDescent="0.25">
      <c r="B47" s="20">
        <v>44</v>
      </c>
      <c r="C47" s="31" t="s">
        <v>807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865</v>
      </c>
    </row>
    <row r="48" spans="2:9" x14ac:dyDescent="0.25">
      <c r="B48" s="20">
        <v>45</v>
      </c>
      <c r="C48" s="31" t="s">
        <v>807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865</v>
      </c>
    </row>
    <row r="49" spans="2:9" x14ac:dyDescent="0.25">
      <c r="B49" s="20">
        <v>46</v>
      </c>
      <c r="C49" s="31" t="s">
        <v>807</v>
      </c>
      <c r="D49" s="22" t="s">
        <v>868</v>
      </c>
      <c r="E49" s="21">
        <v>1</v>
      </c>
      <c r="F49" s="21" t="s">
        <v>760</v>
      </c>
      <c r="G49" s="49"/>
      <c r="H49" s="49">
        <f>G49*E49</f>
        <v>0</v>
      </c>
      <c r="I49" s="21" t="s">
        <v>865</v>
      </c>
    </row>
    <row r="50" spans="2:9" x14ac:dyDescent="0.25">
      <c r="B50" s="20">
        <v>47</v>
      </c>
      <c r="C50" s="17" t="s">
        <v>806</v>
      </c>
      <c r="D50" s="28" t="s">
        <v>853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806</v>
      </c>
      <c r="D51" s="19" t="s">
        <v>831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806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807</v>
      </c>
      <c r="D53" s="43" t="s">
        <v>801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871</v>
      </c>
    </row>
    <row r="54" spans="2:9" x14ac:dyDescent="0.25">
      <c r="B54" s="20">
        <v>51</v>
      </c>
      <c r="C54" s="17" t="s">
        <v>807</v>
      </c>
      <c r="D54" s="43" t="s">
        <v>804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871</v>
      </c>
    </row>
    <row r="55" spans="2:9" x14ac:dyDescent="0.25">
      <c r="B55" s="20">
        <v>52</v>
      </c>
      <c r="C55" s="17" t="s">
        <v>807</v>
      </c>
      <c r="D55" s="43" t="s">
        <v>816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871</v>
      </c>
    </row>
    <row r="56" spans="2:9" x14ac:dyDescent="0.25">
      <c r="B56" s="20">
        <v>53</v>
      </c>
      <c r="C56" s="17" t="s">
        <v>807</v>
      </c>
      <c r="D56" s="43" t="s">
        <v>808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871</v>
      </c>
    </row>
    <row r="57" spans="2:9" x14ac:dyDescent="0.25">
      <c r="B57" s="20">
        <v>54</v>
      </c>
      <c r="C57" s="17" t="s">
        <v>806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19" t="s">
        <v>874</v>
      </c>
      <c r="E58" s="20">
        <v>87</v>
      </c>
      <c r="F58" s="20" t="s">
        <v>760</v>
      </c>
      <c r="G58" s="18">
        <v>34.99</v>
      </c>
      <c r="H58" s="18">
        <f>G58*E58</f>
        <v>3044.13</v>
      </c>
      <c r="I58" s="20" t="s">
        <v>798</v>
      </c>
    </row>
    <row r="59" spans="2:9" x14ac:dyDescent="0.25">
      <c r="B59" s="20">
        <v>56</v>
      </c>
      <c r="C59" s="17"/>
      <c r="D59" s="51" t="s">
        <v>875</v>
      </c>
      <c r="E59" s="20">
        <v>174</v>
      </c>
      <c r="F59" s="20" t="s">
        <v>760</v>
      </c>
      <c r="G59" s="18">
        <v>255.5</v>
      </c>
      <c r="H59" s="18">
        <f>G59*E59</f>
        <v>44457</v>
      </c>
      <c r="I59" s="20" t="s">
        <v>798</v>
      </c>
    </row>
    <row r="60" spans="2:9" x14ac:dyDescent="0.25">
      <c r="B60" s="20">
        <v>57</v>
      </c>
      <c r="C60" s="17"/>
      <c r="D60" s="19" t="s">
        <v>876</v>
      </c>
      <c r="E60" s="20">
        <v>174</v>
      </c>
      <c r="F60" s="20" t="s">
        <v>760</v>
      </c>
      <c r="G60" s="18">
        <v>196</v>
      </c>
      <c r="H60" s="18">
        <f>G60*E60</f>
        <v>34104</v>
      </c>
      <c r="I60" s="20" t="s">
        <v>798</v>
      </c>
    </row>
    <row r="61" spans="2:9" x14ac:dyDescent="0.25">
      <c r="B61" s="20">
        <v>58</v>
      </c>
      <c r="C61" s="17"/>
      <c r="D61" s="51" t="s">
        <v>877</v>
      </c>
      <c r="E61" s="20">
        <v>4700</v>
      </c>
      <c r="F61" s="20" t="s">
        <v>760</v>
      </c>
      <c r="G61" s="18"/>
      <c r="H61" s="18">
        <f>G61*E61</f>
        <v>0</v>
      </c>
      <c r="I61" s="20"/>
    </row>
    <row r="62" spans="2:9" x14ac:dyDescent="0.25">
      <c r="B62" s="20">
        <v>59</v>
      </c>
      <c r="C62" s="17"/>
      <c r="D62" s="19" t="s">
        <v>878</v>
      </c>
      <c r="E62" s="20">
        <v>3200</v>
      </c>
      <c r="F62" s="20" t="s">
        <v>760</v>
      </c>
      <c r="G62" s="18"/>
      <c r="H62" s="18">
        <f>G62*E62</f>
        <v>0</v>
      </c>
      <c r="I62" s="20"/>
    </row>
    <row r="63" spans="2:9" x14ac:dyDescent="0.25">
      <c r="B63" s="20">
        <v>60</v>
      </c>
      <c r="C63" s="17" t="s">
        <v>806</v>
      </c>
      <c r="D63" s="19" t="s">
        <v>784</v>
      </c>
      <c r="E63" s="20">
        <v>1</v>
      </c>
      <c r="F63" s="20" t="s">
        <v>760</v>
      </c>
      <c r="G63" s="18">
        <v>791792.51</v>
      </c>
      <c r="H63" s="18">
        <f>G63*E63</f>
        <v>791792.51</v>
      </c>
      <c r="I63" s="20" t="s">
        <v>783</v>
      </c>
    </row>
    <row r="64" spans="2:9" x14ac:dyDescent="0.25">
      <c r="B64" s="20">
        <v>61</v>
      </c>
      <c r="C64" s="17"/>
      <c r="D64" s="22" t="s">
        <v>859</v>
      </c>
      <c r="E64" s="21"/>
      <c r="F64" s="21"/>
      <c r="G64" s="49"/>
      <c r="H64" s="49">
        <f>G64*E64</f>
        <v>0</v>
      </c>
      <c r="I64" s="21" t="s">
        <v>870</v>
      </c>
    </row>
    <row r="65" spans="2:9" x14ac:dyDescent="0.25">
      <c r="B65" s="20">
        <v>62</v>
      </c>
      <c r="C65" s="17"/>
      <c r="D65" s="22" t="s">
        <v>860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63</v>
      </c>
      <c r="C66" s="17"/>
      <c r="D66" s="22" t="s">
        <v>863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64</v>
      </c>
      <c r="C67" s="17"/>
      <c r="D67" s="19" t="s">
        <v>864</v>
      </c>
      <c r="E67" s="20"/>
      <c r="F67" s="20"/>
      <c r="G67" s="18"/>
      <c r="H67" s="18">
        <f>G67*E67</f>
        <v>0</v>
      </c>
      <c r="I67" s="21" t="s">
        <v>870</v>
      </c>
    </row>
    <row r="68" spans="2:9" x14ac:dyDescent="0.25">
      <c r="B68" s="20">
        <v>65</v>
      </c>
      <c r="C68" s="31"/>
      <c r="D68" s="22" t="s">
        <v>857</v>
      </c>
      <c r="E68" s="21"/>
      <c r="F68" s="21"/>
      <c r="G68" s="23"/>
      <c r="H68" s="47">
        <f>G68*E68</f>
        <v>0</v>
      </c>
      <c r="I68" s="21" t="s">
        <v>870</v>
      </c>
    </row>
    <row r="69" spans="2:9" x14ac:dyDescent="0.25">
      <c r="B69" s="21"/>
      <c r="C69" s="31"/>
      <c r="D69" s="22"/>
      <c r="E69" s="21"/>
      <c r="F69" s="21"/>
      <c r="G69" s="23"/>
      <c r="H69" s="47"/>
      <c r="I69" s="21"/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D71" s="34"/>
      <c r="H71" s="16">
        <f>SUM(Tabela24[Preço Total])</f>
        <v>4437192.4091069028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2026-10-09T19:34:43Z</dcterms:modified>
</cp:coreProperties>
</file>