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E12" i="6" l="1"/>
  <c r="E11" i="6"/>
  <c r="E10" i="6"/>
  <c r="H10" i="6"/>
  <c r="H11" i="6"/>
  <c r="H12" i="6"/>
  <c r="O12" i="6"/>
  <c r="E48" i="6"/>
  <c r="E47" i="6"/>
  <c r="H64" i="6"/>
  <c r="H63" i="6"/>
  <c r="H32" i="6"/>
  <c r="H62" i="6"/>
  <c r="H61" i="6"/>
  <c r="H9" i="6"/>
  <c r="H46" i="6"/>
  <c r="H65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59" i="6"/>
  <c r="H20" i="6"/>
  <c r="H5" i="6"/>
  <c r="O11" i="6" s="1"/>
  <c r="H57" i="6"/>
  <c r="H60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6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<sst xmlns="http://schemas.openxmlformats.org/spreadsheetml/2006/main" count="2168" uniqueCount="876">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</sst>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5" totalsRowShown="0" headerRowDxfId="0" dataDxfId="17">
  <autoFilter ref="B3:I65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8"/>
  <sheetViews>
    <sheetView tabSelected="1" workbookViewId="0">
      <selection activeCell="J29" sqref="J29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823</v>
      </c>
    </row>
    <row r="6" spans="2:18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823</v>
      </c>
    </row>
    <row r="7" spans="2:18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874</v>
      </c>
      <c r="E9" s="21">
        <v>1</v>
      </c>
      <c r="F9" s="21" t="s">
        <v>760</v>
      </c>
      <c r="G9" s="23"/>
      <c r="H9" s="47">
        <f>G9*E9</f>
        <v>0</v>
      </c>
      <c r="I9" s="17" t="s">
        <v>871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871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871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871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807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807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807</v>
      </c>
      <c r="D15" s="22" t="s">
        <v>812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807</v>
      </c>
      <c r="D16" s="28" t="s">
        <v>829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830</v>
      </c>
      <c r="N16" s="36"/>
      <c r="O16" s="35"/>
      <c r="P16" s="39"/>
    </row>
    <row r="17" spans="2:16" x14ac:dyDescent="0.25">
      <c r="B17" s="20">
        <v>14</v>
      </c>
      <c r="C17" s="17" t="s">
        <v>807</v>
      </c>
      <c r="D17" s="28" t="s">
        <v>831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830</v>
      </c>
      <c r="N17" s="36"/>
      <c r="O17" s="35"/>
      <c r="P17" s="39"/>
    </row>
    <row r="18" spans="2:16" x14ac:dyDescent="0.25">
      <c r="B18" s="20">
        <v>15</v>
      </c>
      <c r="C18" s="24" t="s">
        <v>807</v>
      </c>
      <c r="D18" s="28" t="s">
        <v>828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830</v>
      </c>
      <c r="N18" s="36"/>
      <c r="O18" s="35"/>
      <c r="P18" s="39"/>
    </row>
    <row r="19" spans="2:16" x14ac:dyDescent="0.25">
      <c r="B19" s="20">
        <v>16</v>
      </c>
      <c r="C19" s="17" t="s">
        <v>807</v>
      </c>
      <c r="D19" s="28" t="s">
        <v>829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807</v>
      </c>
      <c r="D20" s="28" t="s">
        <v>828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813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856</v>
      </c>
      <c r="E21" s="24">
        <v>30</v>
      </c>
      <c r="F21" s="24" t="s">
        <v>849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857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807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807</v>
      </c>
      <c r="D24" s="22" t="s">
        <v>780</v>
      </c>
      <c r="E24" s="21"/>
      <c r="F24" s="21"/>
      <c r="G24" s="23"/>
      <c r="H24" s="23">
        <f>G24*E24</f>
        <v>0</v>
      </c>
      <c r="I24" s="21" t="s">
        <v>774</v>
      </c>
      <c r="N24" s="36" t="s">
        <v>819</v>
      </c>
      <c r="O24" s="38">
        <f>SUM(O5:O20)</f>
        <v>2822109.0231376002</v>
      </c>
    </row>
    <row r="25" spans="2:16" x14ac:dyDescent="0.25">
      <c r="B25" s="20">
        <v>22</v>
      </c>
      <c r="C25" s="17" t="s">
        <v>807</v>
      </c>
      <c r="D25" s="22" t="s">
        <v>875</v>
      </c>
      <c r="E25" s="21"/>
      <c r="F25" s="21"/>
      <c r="G25" s="23"/>
      <c r="H25" s="23">
        <f>G25*E25</f>
        <v>0</v>
      </c>
      <c r="I25" s="21" t="s">
        <v>871</v>
      </c>
      <c r="J25" s="14"/>
      <c r="N25" s="36"/>
      <c r="O25" s="38"/>
    </row>
    <row r="26" spans="2:16" x14ac:dyDescent="0.25">
      <c r="B26" s="20">
        <v>23</v>
      </c>
      <c r="C26" s="17" t="s">
        <v>807</v>
      </c>
      <c r="D26" s="22" t="s">
        <v>816</v>
      </c>
      <c r="E26" s="21">
        <v>1</v>
      </c>
      <c r="F26" s="21"/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807</v>
      </c>
      <c r="D27" s="28" t="s">
        <v>794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807</v>
      </c>
      <c r="D28" s="28" t="s">
        <v>769</v>
      </c>
      <c r="E28" s="24">
        <v>4100</v>
      </c>
      <c r="F28" s="24" t="s">
        <v>836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807</v>
      </c>
      <c r="D29" s="28" t="s">
        <v>770</v>
      </c>
      <c r="E29" s="24">
        <v>4000</v>
      </c>
      <c r="F29" s="24" t="s">
        <v>836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807</v>
      </c>
      <c r="D30" s="28" t="s">
        <v>827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807</v>
      </c>
      <c r="D31" s="28" t="s">
        <v>864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863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807</v>
      </c>
      <c r="D33" s="28" t="s">
        <v>833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807</v>
      </c>
      <c r="D34" s="19" t="s">
        <v>777</v>
      </c>
      <c r="E34" s="20"/>
      <c r="F34" s="20"/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807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807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807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807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807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869</v>
      </c>
    </row>
    <row r="40" spans="2:9" x14ac:dyDescent="0.25">
      <c r="B40" s="20">
        <v>37</v>
      </c>
      <c r="C40" s="24" t="s">
        <v>807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869</v>
      </c>
    </row>
    <row r="41" spans="2:9" x14ac:dyDescent="0.25">
      <c r="B41" s="20">
        <v>38</v>
      </c>
      <c r="C41" s="24" t="s">
        <v>807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869</v>
      </c>
    </row>
    <row r="42" spans="2:9" x14ac:dyDescent="0.25">
      <c r="B42" s="20">
        <v>39</v>
      </c>
      <c r="C42" s="24" t="s">
        <v>807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869</v>
      </c>
    </row>
    <row r="43" spans="2:9" x14ac:dyDescent="0.25">
      <c r="B43" s="20">
        <v>40</v>
      </c>
      <c r="C43" s="17" t="s">
        <v>807</v>
      </c>
      <c r="D43" s="28" t="s">
        <v>811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869</v>
      </c>
    </row>
    <row r="44" spans="2:9" x14ac:dyDescent="0.25">
      <c r="B44" s="20">
        <v>41</v>
      </c>
      <c r="C44" s="17" t="s">
        <v>807</v>
      </c>
      <c r="D44" s="28" t="s">
        <v>860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869</v>
      </c>
    </row>
    <row r="45" spans="2:9" x14ac:dyDescent="0.25">
      <c r="B45" s="20">
        <v>42</v>
      </c>
      <c r="C45" s="31" t="s">
        <v>808</v>
      </c>
      <c r="D45" s="43" t="s">
        <v>815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867</v>
      </c>
    </row>
    <row r="46" spans="2:9" x14ac:dyDescent="0.25">
      <c r="B46" s="20">
        <v>43</v>
      </c>
      <c r="C46" s="31"/>
      <c r="D46" s="43" t="s">
        <v>868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867</v>
      </c>
    </row>
    <row r="47" spans="2:9" x14ac:dyDescent="0.25">
      <c r="B47" s="20">
        <v>44</v>
      </c>
      <c r="C47" s="31" t="s">
        <v>808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867</v>
      </c>
    </row>
    <row r="48" spans="2:9" x14ac:dyDescent="0.25">
      <c r="B48" s="20">
        <v>45</v>
      </c>
      <c r="C48" s="31" t="s">
        <v>808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867</v>
      </c>
    </row>
    <row r="49" spans="2:9" x14ac:dyDescent="0.25">
      <c r="B49" s="20">
        <v>46</v>
      </c>
      <c r="C49" s="31" t="s">
        <v>808</v>
      </c>
      <c r="D49" s="22" t="s">
        <v>870</v>
      </c>
      <c r="E49" s="21">
        <v>1</v>
      </c>
      <c r="F49" s="21" t="s">
        <v>760</v>
      </c>
      <c r="G49" s="49"/>
      <c r="H49" s="49">
        <f>G49*E49</f>
        <v>0</v>
      </c>
      <c r="I49" s="21" t="s">
        <v>867</v>
      </c>
    </row>
    <row r="50" spans="2:9" x14ac:dyDescent="0.25">
      <c r="B50" s="20">
        <v>47</v>
      </c>
      <c r="C50" s="17" t="s">
        <v>807</v>
      </c>
      <c r="D50" s="28" t="s">
        <v>855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807</v>
      </c>
      <c r="D51" s="19" t="s">
        <v>832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807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808</v>
      </c>
      <c r="D53" s="43" t="s">
        <v>802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873</v>
      </c>
    </row>
    <row r="54" spans="2:9" x14ac:dyDescent="0.25">
      <c r="B54" s="20">
        <v>51</v>
      </c>
      <c r="C54" s="17" t="s">
        <v>808</v>
      </c>
      <c r="D54" s="43" t="s">
        <v>805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873</v>
      </c>
    </row>
    <row r="55" spans="2:9" x14ac:dyDescent="0.25">
      <c r="B55" s="20">
        <v>52</v>
      </c>
      <c r="C55" s="17" t="s">
        <v>808</v>
      </c>
      <c r="D55" s="43" t="s">
        <v>817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873</v>
      </c>
    </row>
    <row r="56" spans="2:9" x14ac:dyDescent="0.25">
      <c r="B56" s="20">
        <v>53</v>
      </c>
      <c r="C56" s="17" t="s">
        <v>808</v>
      </c>
      <c r="D56" s="43" t="s">
        <v>809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873</v>
      </c>
    </row>
    <row r="57" spans="2:9" x14ac:dyDescent="0.25">
      <c r="B57" s="20">
        <v>54</v>
      </c>
      <c r="C57" s="17" t="s">
        <v>807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850</v>
      </c>
      <c r="E58" s="20"/>
      <c r="F58" s="20"/>
      <c r="G58" s="18"/>
      <c r="H58" s="18">
        <f>G58*E58</f>
        <v>0</v>
      </c>
      <c r="I58" s="20" t="s">
        <v>799</v>
      </c>
    </row>
    <row r="59" spans="2:9" x14ac:dyDescent="0.25">
      <c r="B59" s="20">
        <v>56</v>
      </c>
      <c r="C59" s="17" t="s">
        <v>807</v>
      </c>
      <c r="D59" s="19" t="s">
        <v>792</v>
      </c>
      <c r="E59" s="20"/>
      <c r="F59" s="20"/>
      <c r="G59" s="18"/>
      <c r="H59" s="18">
        <f>G59*E59</f>
        <v>0</v>
      </c>
      <c r="I59" s="17" t="s">
        <v>799</v>
      </c>
    </row>
    <row r="60" spans="2:9" x14ac:dyDescent="0.25">
      <c r="B60" s="20">
        <v>57</v>
      </c>
      <c r="C60" s="17" t="s">
        <v>807</v>
      </c>
      <c r="D60" s="19" t="s">
        <v>784</v>
      </c>
      <c r="E60" s="20">
        <v>1</v>
      </c>
      <c r="F60" s="20" t="s">
        <v>760</v>
      </c>
      <c r="G60" s="18">
        <v>791792.51</v>
      </c>
      <c r="H60" s="18">
        <f>G60*E60</f>
        <v>791792.51</v>
      </c>
      <c r="I60" s="20" t="s">
        <v>783</v>
      </c>
    </row>
    <row r="61" spans="2:9" x14ac:dyDescent="0.25">
      <c r="B61" s="20">
        <v>58</v>
      </c>
      <c r="C61" s="17"/>
      <c r="D61" s="22" t="s">
        <v>861</v>
      </c>
      <c r="E61" s="21"/>
      <c r="F61" s="21"/>
      <c r="G61" s="49"/>
      <c r="H61" s="49">
        <f>G61*E61</f>
        <v>0</v>
      </c>
      <c r="I61" s="21" t="s">
        <v>872</v>
      </c>
    </row>
    <row r="62" spans="2:9" x14ac:dyDescent="0.25">
      <c r="B62" s="20">
        <v>59</v>
      </c>
      <c r="C62" s="17"/>
      <c r="D62" s="22" t="s">
        <v>862</v>
      </c>
      <c r="E62" s="21"/>
      <c r="F62" s="21"/>
      <c r="G62" s="49"/>
      <c r="H62" s="49">
        <f>G62*E62</f>
        <v>0</v>
      </c>
      <c r="I62" s="21" t="s">
        <v>872</v>
      </c>
    </row>
    <row r="63" spans="2:9" x14ac:dyDescent="0.25">
      <c r="B63" s="20">
        <v>60</v>
      </c>
      <c r="C63" s="17"/>
      <c r="D63" s="22" t="s">
        <v>865</v>
      </c>
      <c r="E63" s="21"/>
      <c r="F63" s="21"/>
      <c r="G63" s="49"/>
      <c r="H63" s="49">
        <f>G63*E63</f>
        <v>0</v>
      </c>
      <c r="I63" s="21" t="s">
        <v>872</v>
      </c>
    </row>
    <row r="64" spans="2:9" x14ac:dyDescent="0.25">
      <c r="B64" s="20">
        <v>61</v>
      </c>
      <c r="C64" s="17"/>
      <c r="D64" s="19" t="s">
        <v>866</v>
      </c>
      <c r="E64" s="20"/>
      <c r="F64" s="20"/>
      <c r="G64" s="18"/>
      <c r="H64" s="18">
        <f>G64*E64</f>
        <v>0</v>
      </c>
      <c r="I64" s="21" t="s">
        <v>872</v>
      </c>
    </row>
    <row r="65" spans="2:9" x14ac:dyDescent="0.25">
      <c r="B65" s="20">
        <v>62</v>
      </c>
      <c r="C65" s="31"/>
      <c r="D65" s="22" t="s">
        <v>859</v>
      </c>
      <c r="E65" s="21"/>
      <c r="F65" s="21"/>
      <c r="G65" s="23"/>
      <c r="H65" s="47">
        <f>G65*E65</f>
        <v>0</v>
      </c>
      <c r="I65" s="21" t="s">
        <v>872</v>
      </c>
    </row>
    <row r="66" spans="2:9" x14ac:dyDescent="0.25">
      <c r="B66" s="21"/>
      <c r="C66" s="31"/>
      <c r="D66" s="22"/>
      <c r="E66" s="21"/>
      <c r="F66" s="21"/>
      <c r="G66" s="23"/>
      <c r="H66" s="47"/>
      <c r="I66" s="21"/>
    </row>
    <row r="67" spans="2:9" x14ac:dyDescent="0.25">
      <c r="B67" s="21"/>
      <c r="C67" s="31"/>
      <c r="D67" s="22"/>
      <c r="E67" s="21"/>
      <c r="F67" s="21"/>
      <c r="G67" s="23"/>
      <c r="H67" s="47"/>
      <c r="I67" s="21"/>
    </row>
    <row r="68" spans="2:9" x14ac:dyDescent="0.25">
      <c r="D68" s="34"/>
      <c r="H68" s="16">
        <f>SUM(Tabela24[Preço Total])</f>
        <v>4355587.2791069029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2026-10-09T19:17:41Z</dcterms:modified>
</cp:coreProperties>
</file>