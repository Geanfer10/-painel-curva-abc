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6" i="6" l="1"/>
  <c r="H41" i="6"/>
  <c r="H57" i="6"/>
  <c r="H55" i="6"/>
  <c r="H18" i="6"/>
  <c r="H17" i="6"/>
  <c r="G5" i="3"/>
  <c r="H6" i="6"/>
  <c r="H54" i="6"/>
  <c r="F4" i="3"/>
  <c r="H51" i="6"/>
  <c r="G44" i="3"/>
  <c r="G46" i="3"/>
  <c r="G24" i="3"/>
  <c r="G22" i="3"/>
  <c r="H14" i="6" l="1"/>
  <c r="E16" i="6"/>
  <c r="H13" i="6"/>
  <c r="E15" i="6"/>
  <c r="H12" i="6"/>
  <c r="H26" i="6" l="1"/>
  <c r="H37" i="6" l="1"/>
  <c r="H39" i="6"/>
  <c r="H23" i="6"/>
  <c r="H24" i="6"/>
  <c r="H25" i="6"/>
  <c r="H45" i="6"/>
  <c r="H27" i="6"/>
  <c r="H28" i="6"/>
  <c r="H15" i="6"/>
  <c r="H52" i="6"/>
  <c r="H16" i="6"/>
  <c r="H5" i="6"/>
  <c r="O11" i="6" s="1"/>
  <c r="H50" i="6"/>
  <c r="H53" i="6"/>
  <c r="O6" i="6" s="1"/>
  <c r="H29" i="6"/>
  <c r="H7" i="6"/>
  <c r="O12" i="6" s="1"/>
  <c r="H8" i="6"/>
  <c r="H19" i="6"/>
  <c r="H20" i="6"/>
  <c r="H21" i="6"/>
  <c r="H22" i="6"/>
  <c r="H9" i="6"/>
  <c r="O15" i="6" s="1"/>
  <c r="H10" i="6"/>
  <c r="H11" i="6"/>
  <c r="H30" i="6"/>
  <c r="H31" i="6"/>
  <c r="H32" i="6"/>
  <c r="H33" i="6"/>
  <c r="H4" i="6"/>
  <c r="O20" i="6" s="1"/>
  <c r="H46" i="6"/>
  <c r="O8" i="6" s="1"/>
  <c r="H47" i="6"/>
  <c r="H48" i="6"/>
  <c r="H49" i="6"/>
  <c r="H40" i="6"/>
  <c r="H44" i="6"/>
  <c r="J14" i="3"/>
  <c r="O5" i="6" l="1"/>
  <c r="O19" i="6"/>
  <c r="O9" i="6"/>
  <c r="O14" i="6"/>
  <c r="O10" i="6"/>
  <c r="G37" i="3"/>
  <c r="E34" i="6"/>
  <c r="H34" i="6" s="1"/>
  <c r="E35" i="6"/>
  <c r="H35" i="6" s="1"/>
  <c r="E38" i="6"/>
  <c r="H38" i="6" s="1"/>
  <c r="E36" i="6"/>
  <c r="H36" i="6" s="1"/>
  <c r="E43" i="6"/>
  <c r="H43" i="6" s="1"/>
  <c r="E42" i="6"/>
  <c r="H42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0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<sst xmlns="http://schemas.openxmlformats.org/spreadsheetml/2006/main" count="2143" uniqueCount="869">
  <si>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</si>
  <si>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</si>
  <si>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</si>
  <si>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</si>
  <si>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</si>
  <si>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</si>
  <si>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</si>
  <si>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</si>
  <si>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</si>
  <si>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</si>
  <si>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</si>
  <si>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</si>
  <si>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</si>
  <si>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</si>
  <si>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</si>
  <si>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</si>
  <si>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</si>
  <si>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</si>
  <si>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</si>
  <si>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</si>
  <si>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</si>
  <si>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</si>
  <si>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</si>
  <si>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</si>
  <si>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</si>
  <si>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</si>
  <si>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</si>
  <si>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</si>
  <si>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</si>
  <si>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</si>
  <si>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</si>
  <si>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</si>
  <si>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</si>
  <si>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</si>
  <si>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</si>
  <si>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</si>
  <si>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</si>
  <si>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</si>
  <si>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</si>
  <si>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</si>
  <si>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</si>
  <si>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</si>
  <si>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</si>
  <si>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</si>
  <si>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</si>
  <si>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</si>
  <si>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</si>
  <si>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</si>
  <si>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</si>
  <si>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</si>
  <si>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</si>
  <si>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</si>
  <si>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</si>
  <si>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</si>
  <si>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</si>
  <si>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</si>
  <si>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</si>
  <si>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</si>
  <si>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</si>
  <si>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</si>
  <si>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</si>
  <si>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</si>
  <si>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</si>
  <si>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</si>
  <si>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</si>
  <si>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</si>
  <si>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</si>
  <si>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</si>
  <si>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</si>
  <si>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</si>
  <si>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</si>
  <si>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</si>
  <si>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</si>
  <si>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</si>
  <si>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</si>
  <si>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</si>
  <si>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</si>
  <si>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</si>
  <si>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</si>
  <si>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</si>
  <si>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</si>
  <si>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</si>
  <si>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</si>
  <si>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</si>
  <si>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</si>
  <si>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</si>
  <si>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</si>
  <si>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</si>
  <si>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</si>
  <si>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</si>
  <si>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</si>
  <si>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</si>
  <si>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</si>
  <si>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</si>
  <si>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</si>
  <si>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</si>
  <si>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</si>
  <si>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</si>
  <si>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</si>
  <si>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</si>
  <si>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</si>
  <si>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</si>
  <si>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</si>
  <si>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</si>
  <si>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</si>
  <si>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</si>
  <si>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</si>
  <si>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</si>
  <si>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</si>
  <si>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</si>
  <si>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</si>
  <si>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</si>
  <si>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</si>
  <si>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</si>
  <si>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</si>
  <si>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</si>
  <si>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</si>
  <si>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</si>
  <si>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</si>
  <si>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</si>
  <si>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</si>
  <si>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</si>
  <si>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</si>
  <si>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</si>
  <si>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</si>
  <si>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</si>
  <si>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</si>
  <si>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</si>
  <si>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</si>
  <si>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</si>
  <si>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</si>
  <si>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</si>
  <si>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</si>
  <si>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</si>
  <si>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</si>
  <si>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</si>
  <si>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</si>
  <si>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</si>
  <si>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</si>
  <si>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</si>
  <si>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</si>
  <si>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</si>
  <si>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</si>
  <si>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</si>
  <si>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</si>
  <si>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</si>
  <si>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</si>
  <si>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</si>
  <si>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</si>
  <si>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</si>
  <si>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</si>
  <si>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</si>
  <si>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</si>
  <si>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</si>
  <si>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</si>
  <si>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</si>
  <si>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</si>
  <si>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</si>
  <si>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</si>
  <si>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</si>
  <si>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</si>
  <si>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</si>
  <si>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</si>
  <si>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</si>
  <si>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</si>
  <si>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</si>
  <si>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</si>
  <si>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</si>
  <si>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</si>
  <si>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</si>
  <si>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</si>
  <si>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</si>
  <si>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</si>
  <si>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</si>
  <si>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</si>
  <si>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</si>
  <si>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</si>
  <si>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</si>
  <si>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</si>
  <si>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</si>
  <si>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</si>
  <si>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</si>
  <si>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</si>
  <si>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</si>
  <si>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</si>
  <si>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</si>
  <si>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</si>
  <si>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</si>
  <si>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</si>
  <si>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</si>
  <si>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</si>
  <si>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</si>
  <si>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</si>
  <si>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</si>
  <si>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</si>
  <si>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</si>
  <si>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</si>
  <si>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</si>
  <si>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</si>
  <si>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</si>
  <si>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</si>
  <si>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</si>
  <si>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</si>
  <si>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</si>
  <si>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</si>
  <si>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</si>
  <si>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</si>
  <si>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</si>
  <si>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</si>
  <si>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</si>
  <si>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</si>
  <si>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</si>
  <si>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</si>
  <si>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</si>
  <si>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</si>
  <si>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</si>
  <si>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</si>
  <si>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</si>
  <si>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</si>
  <si>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</si>
  <si>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</si>
  <si>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</si>
  <si>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</si>
  <si>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</si>
  <si>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</si>
  <si>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</si>
  <si>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</si>
  <si>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</si>
  <si>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</si>
  <si>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</si>
  <si>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</si>
  <si>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</si>
  <si>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</si>
  <si>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</si>
  <si>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</si>
  <si>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</si>
  <si>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</si>
  <si>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</si>
  <si>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</si>
  <si>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</si>
  <si>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</si>
  <si>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</si>
  <si>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</si>
  <si>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</si>
  <si>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</si>
  <si>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</si>
  <si>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</si>
  <si>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</si>
  <si>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</si>
  <si>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</si>
  <si>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</si>
  <si>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</si>
  <si>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</si>
  <si>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</si>
  <si>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</si>
  <si>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</si>
  <si>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</si>
  <si>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</si>
  <si>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</si>
  <si>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</si>
  <si>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</si>
  <si>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</si>
  <si>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</si>
  <si>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</si>
  <si>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</si>
  <si>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</si>
  <si>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</si>
  <si>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</si>
  <si>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</si>
  <si>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</si>
  <si>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</si>
  <si>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</si>
  <si>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</si>
  <si>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</si>
  <si>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</si>
  <si>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</si>
  <si>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</si>
  <si>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</si>
  <si>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</si>
  <si>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</si>
  <si>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</si>
  <si>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</si>
  <si>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</si>
  <si>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</si>
  <si>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</si>
  <si>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</si>
  <si>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</si>
  <si>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</si>
  <si>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</si>
  <si>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</si>
  <si>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</si>
  <si>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</si>
  <si>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</si>
  <si>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</si>
  <si>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</si>
  <si>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</si>
  <si>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</si>
  <si>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</si>
  <si>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</si>
  <si>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</si>
  <si>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</si>
  <si>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</si>
  <si>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</si>
  <si>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</si>
  <si>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</si>
  <si>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</si>
  <si>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</si>
  <si>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</si>
  <si>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</si>
  <si>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</si>
  <si>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</si>
  <si>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</si>
  <si>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</si>
  <si>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</si>
  <si>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</si>
  <si>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</si>
  <si>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</si>
  <si>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</si>
  <si>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</si>
  <si>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</si>
  <si>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</si>
  <si>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</si>
  <si>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</si>
  <si>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</si>
  <si>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</si>
  <si>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</si>
  <si>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</si>
  <si>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</si>
  <si>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</si>
  <si>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</si>
  <si>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</si>
  <si>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</si>
  <si>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</si>
  <si>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</si>
  <si>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</si>
  <si>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</si>
  <si>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</si>
  <si>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</si>
  <si>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</si>
  <si>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</si>
  <si>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</si>
  <si>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</si>
  <si>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</si>
  <si>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</si>
  <si>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</si>
  <si>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</si>
  <si>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</si>
  <si>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</si>
  <si>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</si>
  <si>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</si>
  <si>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</si>
  <si>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</si>
  <si>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</si>
  <si>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</si>
  <si>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</si>
  <si>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</si>
  <si>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</si>
  <si>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</si>
  <si>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</si>
  <si>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</si>
  <si>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</si>
  <si>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</si>
  <si>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</si>
  <si>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</si>
  <si>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</si>
  <si>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</si>
  <si>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</si>
  <si>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</si>
  <si>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</si>
  <si>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</si>
  <si>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</si>
  <si>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</si>
  <si>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</si>
  <si>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</si>
  <si>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</si>
  <si>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</si>
  <si>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</si>
  <si>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</si>
  <si>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</si>
  <si>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</si>
  <si>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</si>
  <si>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</si>
  <si>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</si>
  <si>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</si>
  <si>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</si>
  <si>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</si>
  <si>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</si>
  <si>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</si>
  <si>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</si>
  <si>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</si>
  <si>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</si>
  <si>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</si>
  <si>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</si>
  <si>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</si>
  <si>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</si>
  <si>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</si>
  <si>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</si>
  <si>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</si>
  <si>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</si>
  <si>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</si>
  <si>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</si>
  <si>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</si>
  <si>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</si>
  <si>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</si>
  <si>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</si>
  <si>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</si>
  <si>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</si>
  <si>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</si>
  <si>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</si>
  <si>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</si>
  <si>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</si>
  <si>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</si>
  <si>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</si>
  <si>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</si>
  <si>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</si>
  <si>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</si>
  <si>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</si>
  <si>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</si>
  <si>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</si>
  <si>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</si>
  <si>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</si>
  <si>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</si>
  <si>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</si>
  <si>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</si>
  <si>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</si>
  <si>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</si>
  <si>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</si>
  <si>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</si>
  <si>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</si>
  <si>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</si>
  <si>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</si>
  <si>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</si>
  <si>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</si>
  <si>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</si>
  <si>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</si>
  <si>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</si>
  <si>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</si>
  <si>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</si>
  <si>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</si>
  <si>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</si>
  <si>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</si>
  <si>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</si>
  <si>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</si>
  <si>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</si>
  <si>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</si>
  <si>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</si>
  <si>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</si>
  <si>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</si>
  <si>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</si>
  <si>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</si>
  <si>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</si>
  <si>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</si>
  <si>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</si>
  <si>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</si>
  <si>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</si>
  <si>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</si>
  <si>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</si>
  <si>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</si>
  <si>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</si>
  <si>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</si>
  <si>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</si>
  <si>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</si>
  <si>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</si>
  <si>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</si>
  <si>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</si>
  <si>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</si>
  <si>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</si>
  <si>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</si>
  <si>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</si>
  <si>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</si>
  <si>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</si>
  <si>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</si>
  <si>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</si>
  <si>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</si>
  <si>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</si>
  <si>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</si>
  <si>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</si>
  <si>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</si>
  <si>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</si>
  <si>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</si>
  <si>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</si>
  <si>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</si>
  <si>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</si>
  <si>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</si>
  <si>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</si>
  <si>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</si>
  <si>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</si>
  <si>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</si>
  <si>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</si>
  <si>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</si>
  <si>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</si>
  <si>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</si>
  <si>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</si>
  <si>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</si>
  <si>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</si>
  <si>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</si>
  <si>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</si>
  <si>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</si>
  <si>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</si>
  <si>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</si>
  <si>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</si>
  <si>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</si>
  <si>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</si>
  <si>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</si>
  <si>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</si>
  <si>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</si>
  <si>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</si>
  <si>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</si>
  <si>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</si>
  <si>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</si>
  <si>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</si>
  <si>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</si>
  <si>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</si>
  <si>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</si>
  <si>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</si>
  <si>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</si>
  <si>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</si>
  <si>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</si>
  <si>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</si>
  <si>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</si>
  <si>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</si>
  <si>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</si>
  <si>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</si>
  <si>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</si>
  <si>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</si>
  <si>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</si>
  <si>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</si>
  <si>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</si>
  <si>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</si>
  <si>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</si>
  <si>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</si>
  <si>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</si>
  <si>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</si>
  <si>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</si>
  <si>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</si>
  <si>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</si>
  <si>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</si>
  <si>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</si>
  <si>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</si>
  <si>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</si>
  <si>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</si>
  <si>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</si>
  <si>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</si>
  <si>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</si>
  <si>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</si>
  <si>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</si>
  <si>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</si>
  <si>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</si>
  <si>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</si>
  <si>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</si>
  <si>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</si>
  <si>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</si>
  <si>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</si>
  <si>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</si>
  <si>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</si>
  <si>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</si>
  <si>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</si>
  <si>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</si>
  <si>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</si>
  <si>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</si>
  <si>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</si>
  <si>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</si>
  <si>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</si>
  <si>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</si>
  <si>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</si>
  <si>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</si>
  <si>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</si>
  <si>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</si>
  <si>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</si>
  <si>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</si>
  <si>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</si>
  <si>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</si>
  <si>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</si>
  <si>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</si>
  <si>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</si>
  <si>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</si>
  <si>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</si>
  <si>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</si>
  <si>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</si>
  <si>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</si>
  <si>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</si>
  <si>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</si>
  <si>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</si>
  <si>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</si>
  <si>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</si>
  <si>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</si>
  <si>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</si>
  <si>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</si>
  <si>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</si>
  <si>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</si>
  <si>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</si>
  <si>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</si>
  <si>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</si>
  <si>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</si>
  <si>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</si>
  <si>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</si>
  <si>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</si>
  <si>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</si>
  <si>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</si>
  <si>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</si>
  <si>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</si>
  <si>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</si>
  <si>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</si>
  <si>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</si>
  <si>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</si>
  <si>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</si>
  <si>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</si>
  <si>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</si>
  <si>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</si>
  <si>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</si>
  <si>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</si>
  <si>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</si>
  <si>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</si>
  <si>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</si>
  <si>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</si>
  <si>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</si>
  <si>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</si>
  <si>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</si>
  <si>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</si>
  <si>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</si>
  <si>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</si>
  <si>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</si>
  <si>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</si>
  <si>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</si>
  <si>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</si>
  <si>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</si>
  <si>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</si>
  <si>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</si>
  <si>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</si>
  <si>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</si>
  <si>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</si>
  <si>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</si>
  <si>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</si>
  <si>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</si>
  <si>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</si>
  <si>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</si>
  <si>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</si>
  <si>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</si>
  <si>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</si>
  <si>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</si>
  <si>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</si>
  <si>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</si>
  <si>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</si>
  <si>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</si>
  <si>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</si>
  <si>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</si>
  <si>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</si>
  <si>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</si>
  <si>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</si>
  <si>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</si>
  <si>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</si>
  <si>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</si>
  <si>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</si>
  <si>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</si>
  <si>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</si>
  <si>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</si>
  <si>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</si>
  <si>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</si>
  <si>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</si>
  <si>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</si>
  <si>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</si>
  <si>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</si>
  <si>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</si>
  <si>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</si>
  <si>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</si>
  <si>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</si>
  <si>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</si>
  <si>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</si>
  <si>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</si>
  <si>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</si>
  <si>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</si>
  <si>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</si>
  <si>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</si>
  <si>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</si>
  <si>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</si>
  <si>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</si>
  <si>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</si>
  <si>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</si>
  <si>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</si>
  <si>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</si>
  <si>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</si>
  <si>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</si>
  <si>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</si>
  <si>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</si>
  <si>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</si>
  <si>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</si>
  <si>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</si>
  <si>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</si>
  <si>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</si>
  <si>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</si>
  <si>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</si>
  <si>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</si>
  <si>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</si>
  <si>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</si>
  <si>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</si>
  <si>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</si>
  <si>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</si>
  <si>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</si>
  <si>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</si>
  <si>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</si>
  <si>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</si>
  <si>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</si>
  <si>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</si>
  <si>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</si>
  <si>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</si>
  <si>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</si>
  <si>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</si>
  <si>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</si>
  <si>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</si>
  <si>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</si>
  <si>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</si>
  <si>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</si>
  <si>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</si>
  <si>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</si>
  <si>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</si>
  <si>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</si>
  <si>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</si>
  <si>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</si>
  <si>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</si>
  <si>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</si>
  <si>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</si>
  <si>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</si>
  <si>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</si>
  <si>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</si>
  <si>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</si>
  <si>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</si>
  <si>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</si>
  <si>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</si>
  <si>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</si>
  <si>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</si>
  <si>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</si>
  <si>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</si>
  <si>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</si>
  <si>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</si>
  <si>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</si>
  <si>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</si>
  <si>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</si>
  <si>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</si>
  <si>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</si>
  <si>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</si>
  <si>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</si>
  <si>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</si>
  <si>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</si>
  <si>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</si>
  <si>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</si>
  <si>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</si>
  <si>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</si>
  <si>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</si>
  <si>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</si>
  <si>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</si>
  <si>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</si>
  <si>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</si>
  <si>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</si>
  <si>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</si>
  <si>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</si>
  <si>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</si>
  <si>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</si>
  <si>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</si>
  <si>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</si>
  <si>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</si>
  <si>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</si>
  <si>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</si>
  <si>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</si>
  <si>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</si>
  <si>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</si>
  <si>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</si>
  <si>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</si>
  <si>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</si>
  <si>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</si>
  <si>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</si>
  <si>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</si>
  <si>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</si>
  <si>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</si>
  <si>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</si>
  <si>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</si>
  <si>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</si>
  <si>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</si>
  <si>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</si>
  <si>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</si>
  <si>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</si>
  <si>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</si>
  <si>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</si>
  <si>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</si>
  <si>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</si>
  <si>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</si>
  <si>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</si>
  <si>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</si>
  <si>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</si>
  <si>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</si>
  <si>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</si>
  <si>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</si>
  <si>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</si>
  <si>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</si>
  <si>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</si>
  <si>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</si>
  <si>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</si>
  <si>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</si>
  <si>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</si>
  <si>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</si>
  <si>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</si>
  <si>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</si>
  <si>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</si>
  <si>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</si>
  <si>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</si>
  <si>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</si>
  <si>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</si>
  <si>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</si>
  <si>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</si>
  <si>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</si>
  <si>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</si>
  <si>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</si>
  <si>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</si>
  <si>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</si>
  <si>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</si>
  <si>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</si>
  <si>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</si>
  <si>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</si>
  <si>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</si>
  <si>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</si>
  <si>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</si>
  <si>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</si>
  <si>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</si>
  <si>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</si>
  <si>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</si>
  <si>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</si>
  <si>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</si>
  <si>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</si>
  <si>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</si>
  <si>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</si>
  <si>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</si>
  <si>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</si>
  <si>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</si>
  <si>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</si>
  <si>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</si>
  <si>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</si>
  <si>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</si>
  <si>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</si>
  <si>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</si>
  <si>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</si>
  <si>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</si>
  <si>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</si>
  <si>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</si>
  <si>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</si>
  <si>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</si>
  <si>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</si>
  <si>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</si>
  <si>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</si>
  <si>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</si>
  <si>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</si>
  <si>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</si>
  <si>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</si>
  <si>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</si>
  <si>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</si>
  <si>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</si>
  <si>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</si>
  <si>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</si>
  <si>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</si>
  <si>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</si>
  <si>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</si>
  <si>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</si>
  <si>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</si>
  <si>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</si>
  <si>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</si>
  <si>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</si>
  <si>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</si>
  <si>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</si>
  <si>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</si>
  <si>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Mão de obra para concretagem do piso das docas de carregamento DPA IV</t>
  </si>
  <si>
    <t>Solicitar mais um orçamento do Erisvaldo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</si>
</sst>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7" totalsRowShown="0" dataDxfId="16">
  <autoFilter ref="B3:I57"/>
  <sortState ref="B4:I51">
    <sortCondition ref="I3:I51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0"/>
  <sheetViews>
    <sheetView tabSelected="1" topLeftCell="A26" workbookViewId="0">
      <selection activeCell="J61" sqref="J61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38.140625" style="14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/>
      <c r="F4" s="24"/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0.27698576114479873</v>
      </c>
      <c r="Q5" s="45">
        <f>P5</f>
        <v>0.27698576114479873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0.22097165457378573</v>
      </c>
      <c r="Q6" s="45">
        <f>P6+Q5</f>
        <v>0.49795741571858443</v>
      </c>
      <c r="R6" t="s">
        <v>828</v>
      </c>
    </row>
    <row r="7" spans="2:18" x14ac:dyDescent="0.25">
      <c r="B7" s="22">
        <v>4</v>
      </c>
      <c r="C7" s="17" t="s">
        <v>809</v>
      </c>
      <c r="D7" s="31" t="s">
        <v>860</v>
      </c>
      <c r="E7" s="27">
        <v>1</v>
      </c>
      <c r="F7" s="27" t="s">
        <v>760</v>
      </c>
      <c r="G7" s="36">
        <v>24500</v>
      </c>
      <c r="H7" s="36">
        <f>G7*E7</f>
        <v>24500</v>
      </c>
      <c r="I7" s="27" t="s">
        <v>772</v>
      </c>
      <c r="N7" s="37" t="s">
        <v>635</v>
      </c>
      <c r="O7" s="39">
        <f>SUMIF(Tabela24[Aplicação],"Piso",Tabela24[Preço Total])</f>
        <v>655347.5</v>
      </c>
      <c r="P7" s="43">
        <f t="shared" si="0"/>
        <v>0.18289289121438398</v>
      </c>
    </row>
    <row r="8" spans="2:18" x14ac:dyDescent="0.25">
      <c r="B8" s="22">
        <v>5</v>
      </c>
      <c r="C8" s="17" t="s">
        <v>809</v>
      </c>
      <c r="D8" s="21" t="s">
        <v>837</v>
      </c>
      <c r="E8" s="22"/>
      <c r="F8" s="22"/>
      <c r="G8" s="19"/>
      <c r="H8" s="19">
        <f>G8*E8</f>
        <v>0</v>
      </c>
      <c r="I8" s="22" t="s">
        <v>772</v>
      </c>
      <c r="J8" s="14" t="s">
        <v>814</v>
      </c>
      <c r="N8" s="44" t="s">
        <v>806</v>
      </c>
      <c r="O8" s="39">
        <f>SUMIF(Tabela24[Aplicação],"Serviço Prévio",Tabela24[Preço Total])</f>
        <v>358477</v>
      </c>
      <c r="P8" s="43">
        <f t="shared" si="0"/>
        <v>0.10004294662581108</v>
      </c>
    </row>
    <row r="9" spans="2:18" x14ac:dyDescent="0.25">
      <c r="B9" s="22">
        <v>6</v>
      </c>
      <c r="C9" s="17" t="s">
        <v>809</v>
      </c>
      <c r="D9" s="25" t="s">
        <v>791</v>
      </c>
      <c r="E9" s="24">
        <v>26</v>
      </c>
      <c r="F9" s="24" t="s">
        <v>760</v>
      </c>
      <c r="G9" s="26"/>
      <c r="H9" s="26">
        <f>G9*E9</f>
        <v>0</v>
      </c>
      <c r="I9" s="24" t="s">
        <v>643</v>
      </c>
      <c r="J9" s="14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4.5768747357942119E-2</v>
      </c>
    </row>
    <row r="10" spans="2:18" x14ac:dyDescent="0.25">
      <c r="B10" s="22">
        <v>7</v>
      </c>
      <c r="C10" s="27" t="s">
        <v>809</v>
      </c>
      <c r="D10" s="47" t="s">
        <v>792</v>
      </c>
      <c r="E10" s="48">
        <v>600</v>
      </c>
      <c r="F10" s="48" t="s">
        <v>761</v>
      </c>
      <c r="G10" s="49">
        <v>3.35</v>
      </c>
      <c r="H10" s="49">
        <f>G10*E10</f>
        <v>2010</v>
      </c>
      <c r="I10" s="48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1.8568173328027054E-2</v>
      </c>
    </row>
    <row r="11" spans="2:18" x14ac:dyDescent="0.25">
      <c r="B11" s="22">
        <v>8</v>
      </c>
      <c r="C11" s="17" t="s">
        <v>809</v>
      </c>
      <c r="D11" s="25" t="s">
        <v>816</v>
      </c>
      <c r="E11" s="24"/>
      <c r="F11" s="24"/>
      <c r="G11" s="26"/>
      <c r="H11" s="26">
        <f>G11*E11</f>
        <v>0</v>
      </c>
      <c r="I11" s="24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0.13564070619436175</v>
      </c>
    </row>
    <row r="12" spans="2:18" x14ac:dyDescent="0.25">
      <c r="B12" s="22">
        <v>9</v>
      </c>
      <c r="C12" s="17" t="s">
        <v>809</v>
      </c>
      <c r="D12" s="31" t="s">
        <v>834</v>
      </c>
      <c r="E12" s="27">
        <v>54</v>
      </c>
      <c r="F12" s="27" t="s">
        <v>760</v>
      </c>
      <c r="G12" s="36">
        <v>243.39</v>
      </c>
      <c r="H12" s="36">
        <f>G12*E12</f>
        <v>13143.06</v>
      </c>
      <c r="I12" s="27" t="s">
        <v>835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836</v>
      </c>
      <c r="E13" s="27">
        <v>30</v>
      </c>
      <c r="F13" s="27" t="s">
        <v>760</v>
      </c>
      <c r="G13" s="36">
        <v>119.7</v>
      </c>
      <c r="H13" s="36">
        <f>G13*E13</f>
        <v>3591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27" t="s">
        <v>809</v>
      </c>
      <c r="D14" s="31" t="s">
        <v>833</v>
      </c>
      <c r="E14" s="48">
        <v>390</v>
      </c>
      <c r="F14" s="27" t="s">
        <v>761</v>
      </c>
      <c r="G14" s="36">
        <v>38.116666600000002</v>
      </c>
      <c r="H14" s="36">
        <f>G14*E14</f>
        <v>14865.499974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1.8568173328027054E-2</v>
      </c>
    </row>
    <row r="15" spans="2:18" x14ac:dyDescent="0.25">
      <c r="B15" s="22">
        <v>12</v>
      </c>
      <c r="C15" s="17" t="s">
        <v>809</v>
      </c>
      <c r="D15" s="31" t="s">
        <v>834</v>
      </c>
      <c r="E15" s="33">
        <f>(84*1.02)*2*1.02</f>
        <v>174.78720000000001</v>
      </c>
      <c r="F15" s="27" t="s">
        <v>760</v>
      </c>
      <c r="G15" s="36">
        <v>243.39</v>
      </c>
      <c r="H15" s="36">
        <f>G15*E15</f>
        <v>42541.456608</v>
      </c>
      <c r="I15" s="27" t="s">
        <v>776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5.6094623286258327E-4</v>
      </c>
    </row>
    <row r="16" spans="2:18" x14ac:dyDescent="0.25">
      <c r="B16" s="22">
        <v>13</v>
      </c>
      <c r="C16" s="27" t="s">
        <v>809</v>
      </c>
      <c r="D16" s="31" t="s">
        <v>833</v>
      </c>
      <c r="E16" s="27">
        <f>84*7</f>
        <v>588</v>
      </c>
      <c r="F16" s="27" t="s">
        <v>761</v>
      </c>
      <c r="G16" s="36">
        <v>38.116666600000002</v>
      </c>
      <c r="H16" s="36">
        <f>G16*E16</f>
        <v>22412.599960800002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/>
      <c r="D17" s="31" t="s">
        <v>861</v>
      </c>
      <c r="E17" s="27">
        <v>30</v>
      </c>
      <c r="F17" s="27" t="s">
        <v>854</v>
      </c>
      <c r="G17" s="36">
        <v>24</v>
      </c>
      <c r="H17" s="36">
        <f>G17*E17</f>
        <v>720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862</v>
      </c>
      <c r="E18" s="27">
        <v>1</v>
      </c>
      <c r="F18" s="27" t="s">
        <v>760</v>
      </c>
      <c r="G18" s="36">
        <v>860</v>
      </c>
      <c r="H18" s="36">
        <f>G18*E18</f>
        <v>860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17" t="s">
        <v>809</v>
      </c>
      <c r="D19" s="25" t="s">
        <v>781</v>
      </c>
      <c r="E19" s="24"/>
      <c r="F19" s="24" t="s">
        <v>761</v>
      </c>
      <c r="G19" s="26"/>
      <c r="H19" s="26">
        <f>G19*E19</f>
        <v>0</v>
      </c>
      <c r="I19" s="24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782</v>
      </c>
      <c r="E20" s="24"/>
      <c r="F20" s="24"/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783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821</v>
      </c>
      <c r="E22" s="24">
        <v>1</v>
      </c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18" t="s">
        <v>796</v>
      </c>
      <c r="E23" s="17"/>
      <c r="F23" s="17"/>
      <c r="G23" s="20"/>
      <c r="H23" s="20">
        <f>G23*E23</f>
        <v>0</v>
      </c>
      <c r="I23" s="17" t="s">
        <v>771</v>
      </c>
    </row>
    <row r="24" spans="2:16" x14ac:dyDescent="0.25">
      <c r="B24" s="22">
        <v>21</v>
      </c>
      <c r="C24" s="17" t="s">
        <v>809</v>
      </c>
      <c r="D24" s="18" t="s">
        <v>769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3583231.1231375998</v>
      </c>
    </row>
    <row r="25" spans="2:16" x14ac:dyDescent="0.25">
      <c r="B25" s="22">
        <v>22</v>
      </c>
      <c r="C25" s="17" t="s">
        <v>809</v>
      </c>
      <c r="D25" s="18" t="s">
        <v>770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27" t="s">
        <v>809</v>
      </c>
      <c r="D26" s="31" t="s">
        <v>832</v>
      </c>
      <c r="E26" s="27">
        <v>1</v>
      </c>
      <c r="F26" s="27" t="s">
        <v>760</v>
      </c>
      <c r="G26" s="32">
        <v>164000</v>
      </c>
      <c r="H26" s="32">
        <f>G26*E26</f>
        <v>164000</v>
      </c>
      <c r="I26" s="27" t="s">
        <v>771</v>
      </c>
    </row>
    <row r="27" spans="2:16" x14ac:dyDescent="0.25">
      <c r="B27" s="22">
        <v>24</v>
      </c>
      <c r="C27" s="17" t="s">
        <v>809</v>
      </c>
      <c r="D27" s="18" t="s">
        <v>774</v>
      </c>
      <c r="E27" s="17"/>
      <c r="F27" s="17"/>
      <c r="G27" s="20"/>
      <c r="H27" s="20">
        <f>G27*E27</f>
        <v>0</v>
      </c>
      <c r="I27" s="17" t="s">
        <v>771</v>
      </c>
    </row>
    <row r="28" spans="2:16" x14ac:dyDescent="0.25">
      <c r="B28" s="22">
        <v>25</v>
      </c>
      <c r="C28" s="17" t="s">
        <v>809</v>
      </c>
      <c r="D28" s="18" t="s">
        <v>775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21" t="s">
        <v>779</v>
      </c>
      <c r="E29" s="22"/>
      <c r="F29" s="22"/>
      <c r="G29" s="19"/>
      <c r="H29" s="19">
        <f>G29*E29</f>
        <v>0</v>
      </c>
      <c r="I29" s="22" t="s">
        <v>771</v>
      </c>
    </row>
    <row r="30" spans="2:16" x14ac:dyDescent="0.25">
      <c r="B30" s="22">
        <v>27</v>
      </c>
      <c r="C30" s="17" t="s">
        <v>809</v>
      </c>
      <c r="D30" s="25" t="s">
        <v>787</v>
      </c>
      <c r="E30" s="24"/>
      <c r="F30" s="24"/>
      <c r="G30" s="26"/>
      <c r="H30" s="26">
        <f>G30*E30</f>
        <v>0</v>
      </c>
      <c r="I30" s="24" t="s">
        <v>576</v>
      </c>
    </row>
    <row r="31" spans="2:16" x14ac:dyDescent="0.25">
      <c r="B31" s="22">
        <v>28</v>
      </c>
      <c r="C31" s="17" t="s">
        <v>809</v>
      </c>
      <c r="D31" s="25" t="s">
        <v>788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789</v>
      </c>
      <c r="E32" s="24"/>
      <c r="F32" s="24"/>
      <c r="G32" s="26"/>
      <c r="H32" s="26">
        <f>G32*E32</f>
        <v>0</v>
      </c>
      <c r="I32" s="24" t="s">
        <v>576</v>
      </c>
    </row>
    <row r="33" spans="2:9" x14ac:dyDescent="0.25">
      <c r="B33" s="22">
        <v>30</v>
      </c>
      <c r="C33" s="17" t="s">
        <v>809</v>
      </c>
      <c r="D33" s="25" t="s">
        <v>790</v>
      </c>
      <c r="E33" s="24"/>
      <c r="F33" s="24"/>
      <c r="G33" s="26"/>
      <c r="H33" s="26">
        <f>G33*E33</f>
        <v>0</v>
      </c>
      <c r="I33" s="24" t="s">
        <v>576</v>
      </c>
    </row>
    <row r="34" spans="2:9" x14ac:dyDescent="0.25">
      <c r="B34" s="22">
        <v>31</v>
      </c>
      <c r="C34" s="27" t="s">
        <v>809</v>
      </c>
      <c r="D34" s="31" t="s">
        <v>757</v>
      </c>
      <c r="E34" s="33">
        <f>(2150*1.05)*0.15</f>
        <v>338.625</v>
      </c>
      <c r="F34" s="27" t="s">
        <v>759</v>
      </c>
      <c r="G34" s="32">
        <v>670</v>
      </c>
      <c r="H34" s="32">
        <f>G34*E34</f>
        <v>226878.75</v>
      </c>
      <c r="I34" s="27" t="s">
        <v>635</v>
      </c>
    </row>
    <row r="35" spans="2:9" x14ac:dyDescent="0.25">
      <c r="B35" s="22">
        <v>32</v>
      </c>
      <c r="C35" s="27" t="s">
        <v>809</v>
      </c>
      <c r="D35" s="31" t="s">
        <v>777</v>
      </c>
      <c r="E35" s="33">
        <f>(2150/13)*2</f>
        <v>330.76923076923077</v>
      </c>
      <c r="F35" s="27" t="s">
        <v>760</v>
      </c>
      <c r="G35" s="32">
        <v>220.5</v>
      </c>
      <c r="H35" s="32">
        <f>G35*E35</f>
        <v>72934.61538461539</v>
      </c>
      <c r="I35" s="27" t="s">
        <v>635</v>
      </c>
    </row>
    <row r="36" spans="2:9" x14ac:dyDescent="0.25">
      <c r="B36" s="22">
        <v>33</v>
      </c>
      <c r="C36" s="27" t="s">
        <v>809</v>
      </c>
      <c r="D36" s="31" t="s">
        <v>758</v>
      </c>
      <c r="E36" s="27">
        <f>2100/12</f>
        <v>175</v>
      </c>
      <c r="F36" s="27" t="s">
        <v>761</v>
      </c>
      <c r="G36" s="32">
        <v>56.2</v>
      </c>
      <c r="H36" s="32">
        <f>G36*E36</f>
        <v>9835</v>
      </c>
      <c r="I36" s="27" t="s">
        <v>635</v>
      </c>
    </row>
    <row r="37" spans="2:9" x14ac:dyDescent="0.25">
      <c r="B37" s="22">
        <v>34</v>
      </c>
      <c r="C37" s="27" t="s">
        <v>809</v>
      </c>
      <c r="D37" s="31" t="s">
        <v>762</v>
      </c>
      <c r="E37" s="27">
        <v>1000</v>
      </c>
      <c r="F37" s="27" t="s">
        <v>763</v>
      </c>
      <c r="G37" s="32">
        <v>7.3</v>
      </c>
      <c r="H37" s="32">
        <f>G37*E37</f>
        <v>7300</v>
      </c>
      <c r="I37" s="27" t="s">
        <v>635</v>
      </c>
    </row>
    <row r="38" spans="2:9" x14ac:dyDescent="0.25">
      <c r="B38" s="22">
        <v>35</v>
      </c>
      <c r="C38" s="17" t="s">
        <v>809</v>
      </c>
      <c r="D38" s="18" t="s">
        <v>815</v>
      </c>
      <c r="E38" s="23">
        <f>E34</f>
        <v>338.625</v>
      </c>
      <c r="F38" s="17" t="s">
        <v>766</v>
      </c>
      <c r="G38" s="20">
        <v>50</v>
      </c>
      <c r="H38" s="20">
        <f>G38*E38</f>
        <v>16931.25</v>
      </c>
      <c r="I38" s="17" t="s">
        <v>635</v>
      </c>
    </row>
    <row r="39" spans="2:9" x14ac:dyDescent="0.25">
      <c r="B39" s="22">
        <v>36</v>
      </c>
      <c r="C39" s="17" t="s">
        <v>809</v>
      </c>
      <c r="D39" s="31" t="s">
        <v>865</v>
      </c>
      <c r="E39" s="27">
        <v>1</v>
      </c>
      <c r="F39" s="27" t="s">
        <v>760</v>
      </c>
      <c r="G39" s="32">
        <v>53550</v>
      </c>
      <c r="H39" s="32">
        <f>G39*E39</f>
        <v>53550</v>
      </c>
      <c r="I39" s="27" t="s">
        <v>635</v>
      </c>
    </row>
    <row r="40" spans="2:9" x14ac:dyDescent="0.25">
      <c r="B40" s="22">
        <v>37</v>
      </c>
      <c r="C40" s="34" t="s">
        <v>810</v>
      </c>
      <c r="D40" s="47" t="s">
        <v>820</v>
      </c>
      <c r="E40" s="48">
        <v>110</v>
      </c>
      <c r="F40" s="48" t="s">
        <v>760</v>
      </c>
      <c r="G40" s="49">
        <v>42.29</v>
      </c>
      <c r="H40" s="49">
        <f>G40*E40</f>
        <v>4651.8999999999996</v>
      </c>
      <c r="I40" s="48" t="s">
        <v>635</v>
      </c>
    </row>
    <row r="41" spans="2:9" x14ac:dyDescent="0.25">
      <c r="B41" s="22">
        <v>38</v>
      </c>
      <c r="C41" s="34"/>
      <c r="D41" s="47" t="s">
        <v>866</v>
      </c>
      <c r="E41" s="48">
        <v>1</v>
      </c>
      <c r="F41" s="48" t="s">
        <v>760</v>
      </c>
      <c r="G41" s="49">
        <v>1400</v>
      </c>
      <c r="H41" s="49">
        <f>G41*E41</f>
        <v>1400</v>
      </c>
      <c r="I41" s="48" t="s">
        <v>635</v>
      </c>
    </row>
    <row r="42" spans="2:9" x14ac:dyDescent="0.25">
      <c r="B42" s="22">
        <v>39</v>
      </c>
      <c r="C42" s="34" t="s">
        <v>810</v>
      </c>
      <c r="D42" s="25" t="s">
        <v>757</v>
      </c>
      <c r="E42" s="35">
        <f>(1784*0.15)*1.05</f>
        <v>280.97999999999996</v>
      </c>
      <c r="F42" s="24" t="s">
        <v>759</v>
      </c>
      <c r="G42" s="26">
        <v>670</v>
      </c>
      <c r="H42" s="26">
        <f>G42*E42</f>
        <v>188256.59999999998</v>
      </c>
      <c r="I42" s="24" t="s">
        <v>635</v>
      </c>
    </row>
    <row r="43" spans="2:9" x14ac:dyDescent="0.25">
      <c r="B43" s="22">
        <v>40</v>
      </c>
      <c r="C43" s="34" t="s">
        <v>810</v>
      </c>
      <c r="D43" s="18" t="s">
        <v>777</v>
      </c>
      <c r="E43" s="35">
        <f>1784/13</f>
        <v>137.23076923076923</v>
      </c>
      <c r="F43" s="24" t="s">
        <v>760</v>
      </c>
      <c r="G43" s="26">
        <v>220.5</v>
      </c>
      <c r="H43" s="26">
        <f>G43*E43</f>
        <v>30259.384615384613</v>
      </c>
      <c r="I43" s="24" t="s">
        <v>635</v>
      </c>
    </row>
    <row r="44" spans="2:9" x14ac:dyDescent="0.25">
      <c r="B44" s="22">
        <v>41</v>
      </c>
      <c r="C44" s="34" t="s">
        <v>810</v>
      </c>
      <c r="D44" s="25" t="s">
        <v>819</v>
      </c>
      <c r="E44" s="24">
        <v>1</v>
      </c>
      <c r="F44" s="24" t="s">
        <v>760</v>
      </c>
      <c r="G44" s="26">
        <v>43350</v>
      </c>
      <c r="H44" s="26">
        <f>G44*E44</f>
        <v>43350</v>
      </c>
      <c r="I44" s="24" t="s">
        <v>635</v>
      </c>
    </row>
    <row r="45" spans="2:9" x14ac:dyDescent="0.25">
      <c r="B45" s="22">
        <v>42</v>
      </c>
      <c r="C45" s="17" t="s">
        <v>809</v>
      </c>
      <c r="D45" s="18" t="s">
        <v>773</v>
      </c>
      <c r="E45" s="17">
        <v>1</v>
      </c>
      <c r="F45" s="17" t="s">
        <v>760</v>
      </c>
      <c r="G45" s="20">
        <v>968004</v>
      </c>
      <c r="H45" s="20">
        <f>G45*E45</f>
        <v>968004</v>
      </c>
      <c r="I45" s="17" t="s">
        <v>772</v>
      </c>
    </row>
    <row r="46" spans="2:9" x14ac:dyDescent="0.25">
      <c r="B46" s="22">
        <v>43</v>
      </c>
      <c r="C46" s="17" t="s">
        <v>810</v>
      </c>
      <c r="D46" s="25" t="s">
        <v>804</v>
      </c>
      <c r="E46" s="24">
        <v>1</v>
      </c>
      <c r="F46" s="24" t="s">
        <v>760</v>
      </c>
      <c r="G46" s="26">
        <v>46600</v>
      </c>
      <c r="H46" s="26">
        <f>G46*E46</f>
        <v>46600</v>
      </c>
      <c r="I46" s="24" t="s">
        <v>806</v>
      </c>
    </row>
    <row r="47" spans="2:9" x14ac:dyDescent="0.25">
      <c r="B47" s="22">
        <v>44</v>
      </c>
      <c r="C47" s="17" t="s">
        <v>810</v>
      </c>
      <c r="D47" s="25" t="s">
        <v>807</v>
      </c>
      <c r="E47" s="24">
        <v>1</v>
      </c>
      <c r="F47" s="24" t="s">
        <v>760</v>
      </c>
      <c r="G47" s="26">
        <v>8100</v>
      </c>
      <c r="H47" s="26">
        <f>G47*E47</f>
        <v>8100</v>
      </c>
      <c r="I47" s="24" t="s">
        <v>806</v>
      </c>
    </row>
    <row r="48" spans="2:9" x14ac:dyDescent="0.25">
      <c r="B48" s="22">
        <v>45</v>
      </c>
      <c r="C48" s="17" t="s">
        <v>810</v>
      </c>
      <c r="D48" s="25" t="s">
        <v>822</v>
      </c>
      <c r="E48" s="24">
        <v>1</v>
      </c>
      <c r="F48" s="24" t="s">
        <v>760</v>
      </c>
      <c r="G48" s="26">
        <v>5000</v>
      </c>
      <c r="H48" s="26">
        <f>G48*E48</f>
        <v>5000</v>
      </c>
      <c r="I48" s="24" t="s">
        <v>806</v>
      </c>
    </row>
    <row r="49" spans="2:10" x14ac:dyDescent="0.25">
      <c r="B49" s="22">
        <v>46</v>
      </c>
      <c r="C49" s="17" t="s">
        <v>810</v>
      </c>
      <c r="D49" s="25" t="s">
        <v>811</v>
      </c>
      <c r="E49" s="24">
        <v>1</v>
      </c>
      <c r="F49" s="24" t="s">
        <v>760</v>
      </c>
      <c r="G49" s="26">
        <v>298777</v>
      </c>
      <c r="H49" s="26">
        <f>G49*E49</f>
        <v>298777</v>
      </c>
      <c r="I49" s="24" t="s">
        <v>806</v>
      </c>
    </row>
    <row r="50" spans="2:10" x14ac:dyDescent="0.25">
      <c r="B50" s="22">
        <v>47</v>
      </c>
      <c r="C50" s="17" t="s">
        <v>809</v>
      </c>
      <c r="D50" s="21" t="s">
        <v>793</v>
      </c>
      <c r="E50" s="22"/>
      <c r="F50" s="22"/>
      <c r="G50" s="19"/>
      <c r="H50" s="19">
        <f>G50*E50</f>
        <v>0</v>
      </c>
      <c r="I50" s="22" t="s">
        <v>419</v>
      </c>
    </row>
    <row r="51" spans="2:10" x14ac:dyDescent="0.25">
      <c r="B51" s="22">
        <v>48</v>
      </c>
      <c r="C51" s="17"/>
      <c r="D51" s="21" t="s">
        <v>855</v>
      </c>
      <c r="E51" s="22"/>
      <c r="F51" s="22"/>
      <c r="G51" s="19"/>
      <c r="H51" s="19">
        <f>G51*E51</f>
        <v>0</v>
      </c>
      <c r="I51" s="22" t="s">
        <v>801</v>
      </c>
    </row>
    <row r="52" spans="2:10" x14ac:dyDescent="0.25">
      <c r="B52" s="22">
        <v>49</v>
      </c>
      <c r="C52" s="17" t="s">
        <v>809</v>
      </c>
      <c r="D52" s="21" t="s">
        <v>794</v>
      </c>
      <c r="E52" s="22"/>
      <c r="F52" s="22"/>
      <c r="G52" s="19"/>
      <c r="H52" s="19">
        <f>G52*E52</f>
        <v>0</v>
      </c>
      <c r="I52" s="17" t="s">
        <v>801</v>
      </c>
    </row>
    <row r="53" spans="2:10" x14ac:dyDescent="0.25">
      <c r="B53" s="22">
        <v>50</v>
      </c>
      <c r="C53" s="17" t="s">
        <v>809</v>
      </c>
      <c r="D53" s="21" t="s">
        <v>786</v>
      </c>
      <c r="E53" s="22">
        <v>1</v>
      </c>
      <c r="F53" s="22" t="s">
        <v>760</v>
      </c>
      <c r="G53" s="19">
        <v>791792.51</v>
      </c>
      <c r="H53" s="19">
        <f>G53*E53</f>
        <v>791792.51</v>
      </c>
      <c r="I53" s="22" t="s">
        <v>785</v>
      </c>
    </row>
    <row r="54" spans="2:10" x14ac:dyDescent="0.25">
      <c r="B54" s="22">
        <v>51</v>
      </c>
      <c r="C54" s="17"/>
      <c r="D54" s="21" t="s">
        <v>857</v>
      </c>
      <c r="E54" s="22">
        <v>6</v>
      </c>
      <c r="F54" s="22" t="s">
        <v>760</v>
      </c>
      <c r="G54" s="19"/>
      <c r="H54" s="19">
        <f>G54*E54</f>
        <v>0</v>
      </c>
      <c r="I54" s="17" t="s">
        <v>253</v>
      </c>
    </row>
    <row r="55" spans="2:10" x14ac:dyDescent="0.25">
      <c r="B55" s="22">
        <v>52</v>
      </c>
      <c r="C55" s="34"/>
      <c r="D55" s="25" t="s">
        <v>863</v>
      </c>
      <c r="E55" s="24"/>
      <c r="F55" s="24"/>
      <c r="G55" s="26"/>
      <c r="H55" s="51">
        <f>G55*E55</f>
        <v>0</v>
      </c>
      <c r="I55" s="17" t="s">
        <v>253</v>
      </c>
    </row>
    <row r="56" spans="2:10" x14ac:dyDescent="0.25">
      <c r="B56" s="22"/>
      <c r="C56" s="34"/>
      <c r="D56" s="25" t="s">
        <v>867</v>
      </c>
      <c r="E56" s="24">
        <v>1</v>
      </c>
      <c r="F56" s="24" t="s">
        <v>760</v>
      </c>
      <c r="G56" s="26"/>
      <c r="H56" s="51">
        <f>G56*E56</f>
        <v>0</v>
      </c>
      <c r="I56" s="17" t="s">
        <v>253</v>
      </c>
      <c r="J56" s="14" t="s">
        <v>868</v>
      </c>
    </row>
    <row r="57" spans="2:10" x14ac:dyDescent="0.25">
      <c r="B57" s="22">
        <v>53</v>
      </c>
      <c r="C57" s="34"/>
      <c r="D57" s="25" t="s">
        <v>864</v>
      </c>
      <c r="E57" s="24"/>
      <c r="F57" s="24"/>
      <c r="G57" s="26"/>
      <c r="H57" s="51">
        <f>G57*E57</f>
        <v>0</v>
      </c>
      <c r="I57" s="24"/>
    </row>
    <row r="58" spans="2:10" x14ac:dyDescent="0.25">
      <c r="B58" s="24"/>
      <c r="C58" s="34"/>
      <c r="D58" s="25"/>
      <c r="E58" s="24"/>
      <c r="F58" s="24"/>
      <c r="G58" s="26"/>
      <c r="H58" s="51"/>
      <c r="I58" s="24"/>
    </row>
    <row r="59" spans="2:10" x14ac:dyDescent="0.25">
      <c r="B59" s="24"/>
      <c r="C59" s="34"/>
      <c r="D59" s="25"/>
      <c r="E59" s="24"/>
      <c r="F59" s="24"/>
      <c r="G59" s="26"/>
      <c r="H59" s="51"/>
      <c r="I59" s="24"/>
    </row>
    <row r="60" spans="2:10" x14ac:dyDescent="0.25">
      <c r="D60" s="38"/>
      <c r="H60" s="16">
        <f>SUM(Tabela24[Preço Total])</f>
        <v>3548296.6265428001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2026-10-09T17:30:39Z</dcterms:modified>
</cp:coreProperties>
</file>