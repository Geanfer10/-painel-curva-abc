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1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G44" i="3" l="1"/>
  <c r="G46" i="3"/>
  <c r="G23" i="3"/>
  <c r="G20" i="3"/>
  <c r="H13" i="6" l="1"/>
  <c r="E15" i="6"/>
  <c r="H12" i="6"/>
  <c r="E14" i="6"/>
  <c r="H11" i="6"/>
  <c r="H23" i="6" l="1"/>
  <c r="H34" i="6" l="1"/>
  <c r="H36" i="6"/>
  <c r="H20" i="6"/>
  <c r="H21" i="6"/>
  <c r="H22" i="6"/>
  <c r="H41" i="6"/>
  <c r="H24" i="6"/>
  <c r="H25" i="6"/>
  <c r="H14" i="6"/>
  <c r="H42" i="6"/>
  <c r="O5" i="6" s="1"/>
  <c r="H15" i="6"/>
  <c r="H5" i="6"/>
  <c r="O11" i="6" s="1"/>
  <c r="H47" i="6"/>
  <c r="H48" i="6"/>
  <c r="O6" i="6" s="1"/>
  <c r="H26" i="6"/>
  <c r="H6" i="6"/>
  <c r="O12" i="6" s="1"/>
  <c r="H7" i="6"/>
  <c r="H16" i="6"/>
  <c r="H17" i="6"/>
  <c r="H18" i="6"/>
  <c r="H19" i="6"/>
  <c r="H8" i="6"/>
  <c r="O15" i="6" s="1"/>
  <c r="H9" i="6"/>
  <c r="H10" i="6"/>
  <c r="H27" i="6"/>
  <c r="H28" i="6"/>
  <c r="H29" i="6"/>
  <c r="H30" i="6"/>
  <c r="H4" i="6"/>
  <c r="O17" i="6" s="1"/>
  <c r="H43" i="6"/>
  <c r="O8" i="6" s="1"/>
  <c r="H44" i="6"/>
  <c r="H45" i="6"/>
  <c r="H46" i="6"/>
  <c r="H37" i="6"/>
  <c r="H40" i="6"/>
  <c r="J14" i="3"/>
  <c r="O16" i="6" l="1"/>
  <c r="O9" i="6"/>
  <c r="O14" i="6"/>
  <c r="O10" i="6"/>
  <c r="G37" i="3"/>
  <c r="E31" i="6"/>
  <c r="H31" i="6" s="1"/>
  <c r="E32" i="6"/>
  <c r="H32" i="6" s="1"/>
  <c r="E35" i="6"/>
  <c r="H35" i="6" s="1"/>
  <c r="E33" i="6"/>
  <c r="H33" i="6" s="1"/>
  <c r="E39" i="6"/>
  <c r="H39" i="6" s="1"/>
  <c r="E38" i="6"/>
  <c r="H38" i="6" s="1"/>
  <c r="G36" i="3"/>
  <c r="J15" i="3" s="1"/>
  <c r="O7" i="6" l="1"/>
  <c r="O21" i="6" s="1"/>
  <c r="P11" i="6" s="1"/>
  <c r="G21" i="3"/>
  <c r="G16" i="3"/>
  <c r="G40" i="3"/>
  <c r="G41" i="3"/>
  <c r="G42" i="3"/>
  <c r="G43" i="3"/>
  <c r="G39" i="3"/>
  <c r="P7" i="6" l="1"/>
  <c r="P10" i="6"/>
  <c r="P6" i="6"/>
  <c r="P16" i="6"/>
  <c r="P9" i="6"/>
  <c r="P15" i="6"/>
  <c r="P14" i="6"/>
  <c r="P8" i="6"/>
  <c r="P17" i="6"/>
  <c r="P12" i="6"/>
  <c r="P5" i="6"/>
  <c r="Q5" i="6" s="1"/>
  <c r="G17" i="3"/>
  <c r="D29" i="3"/>
  <c r="G9" i="3"/>
  <c r="Q6" i="6" l="1"/>
  <c r="H51" i="6"/>
  <c r="G28" i="3"/>
  <c r="G27" i="3"/>
  <c r="G26" i="3"/>
  <c r="G25" i="3"/>
  <c r="G8" i="3"/>
  <c r="G7" i="3"/>
  <c r="J12" i="3" s="1"/>
  <c r="G15" i="3"/>
  <c r="G14" i="3"/>
  <c r="G13" i="3"/>
  <c r="G12" i="3"/>
  <c r="G6" i="3"/>
  <c r="G5" i="3"/>
  <c r="D30" i="3"/>
  <c r="J13" i="3" l="1"/>
  <c r="J11" i="3"/>
  <c r="G10" i="3"/>
  <c r="G11" i="3"/>
  <c r="G4" i="3"/>
  <c r="J8" i="3" s="1"/>
  <c r="G38" i="3"/>
  <c r="J9" i="3" s="1"/>
  <c r="G45" i="3"/>
  <c r="J10" i="3" s="1"/>
  <c r="G24" i="3"/>
  <c r="G30" i="3"/>
  <c r="G31" i="3"/>
  <c r="G32" i="3"/>
  <c r="G33" i="3"/>
  <c r="G34" i="3"/>
  <c r="G18" i="3"/>
  <c r="G19" i="3"/>
  <c r="G35" i="3"/>
  <c r="J6" i="3" s="1"/>
  <c r="G22" i="3"/>
  <c r="G29" i="3"/>
  <c r="J7" i="3" l="1"/>
  <c r="J4" i="3"/>
  <c r="J5" i="3"/>
  <c r="G49" i="3"/>
</calcChain>
</file>

<file path=xl/sharedStrings.xml><?xml version="1.0" encoding="utf-8"?>
<sst xmlns="http://schemas.openxmlformats.org/spreadsheetml/2006/main" count="2116" uniqueCount="857">
  <si>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</si>
  <si>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</si>
  <si>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</si>
  <si>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</si>
  <si>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</si>
  <si>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</si>
  <si>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</si>
  <si>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</si>
  <si>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</si>
  <si>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</si>
  <si>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</si>
  <si>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</si>
  <si>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</si>
  <si>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</si>
  <si>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</si>
  <si>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</si>
  <si>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</si>
  <si>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</si>
  <si>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</si>
  <si>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</si>
  <si>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</si>
  <si>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</si>
  <si>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</si>
  <si>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</si>
  <si>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</si>
  <si>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</si>
  <si>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</si>
  <si>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</si>
  <si>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</si>
  <si>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</si>
  <si>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</si>
  <si>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</si>
  <si>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</si>
  <si>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</si>
  <si>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</si>
  <si>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</si>
  <si>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</si>
  <si>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</si>
  <si>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</si>
  <si>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</si>
  <si>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</si>
  <si>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</si>
  <si>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</si>
  <si>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</si>
  <si>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</si>
  <si>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</si>
  <si>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</si>
  <si>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</si>
  <si>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</si>
  <si>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</si>
  <si>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</si>
  <si>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</si>
  <si>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</si>
  <si>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</si>
  <si>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</si>
  <si>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</si>
  <si>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</si>
  <si>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</si>
  <si>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</si>
  <si>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</si>
  <si>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</si>
  <si>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</si>
  <si>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</si>
  <si>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</si>
  <si>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</si>
  <si>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</si>
  <si>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</si>
  <si>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</si>
  <si>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</si>
  <si>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</si>
  <si>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</si>
  <si>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</si>
  <si>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</si>
  <si>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</si>
  <si>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</si>
  <si>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</si>
  <si>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</si>
  <si>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</si>
  <si>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</si>
  <si>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</si>
  <si>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</si>
  <si>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</si>
  <si>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</si>
  <si>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</si>
  <si>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</si>
  <si>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</si>
  <si>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</si>
  <si>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</si>
  <si>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</si>
  <si>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</si>
  <si>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</si>
  <si>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</si>
  <si>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</si>
  <si>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</si>
  <si>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</si>
  <si>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</si>
  <si>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</si>
  <si>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</si>
  <si>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</si>
  <si>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</si>
  <si>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</si>
  <si>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</si>
  <si>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</si>
  <si>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</si>
  <si>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</si>
  <si>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</si>
  <si>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</si>
  <si>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</si>
  <si>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</si>
  <si>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</si>
  <si>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</si>
  <si>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</si>
  <si>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</si>
  <si>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</si>
  <si>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</si>
  <si>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</si>
  <si>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</si>
  <si>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</si>
  <si>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</si>
  <si>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</si>
  <si>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</si>
  <si>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</si>
  <si>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</si>
  <si>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</si>
  <si>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</si>
  <si>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</si>
  <si>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</si>
  <si>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</si>
  <si>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</si>
  <si>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</si>
  <si>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</si>
  <si>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</si>
  <si>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</si>
  <si>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</si>
  <si>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</si>
  <si>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</si>
  <si>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</si>
  <si>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</si>
  <si>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</si>
  <si>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</si>
  <si>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</si>
  <si>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</si>
  <si>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</si>
  <si>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</si>
  <si>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</si>
  <si>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</si>
  <si>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</si>
  <si>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</si>
  <si>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</si>
  <si>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</si>
  <si>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</si>
  <si>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</si>
  <si>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</si>
  <si>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</si>
  <si>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</si>
  <si>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</si>
  <si>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</si>
  <si>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</si>
  <si>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</si>
  <si>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</si>
  <si>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</si>
  <si>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</si>
  <si>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</si>
  <si>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</si>
  <si>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</si>
  <si>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</si>
  <si>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</si>
  <si>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</si>
  <si>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</si>
  <si>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</si>
  <si>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</si>
  <si>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</si>
  <si>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</si>
  <si>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</si>
  <si>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</si>
  <si>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</si>
  <si>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</si>
  <si>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</si>
  <si>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</si>
  <si>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</si>
  <si>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</si>
  <si>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</si>
  <si>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</si>
  <si>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</si>
  <si>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</si>
  <si>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</si>
  <si>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</si>
  <si>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</si>
  <si>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</si>
  <si>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</si>
  <si>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</si>
  <si>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</si>
  <si>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</si>
  <si>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</si>
  <si>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</si>
  <si>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</si>
  <si>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</si>
  <si>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</si>
  <si>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</si>
  <si>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</si>
  <si>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</si>
  <si>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</si>
  <si>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</si>
  <si>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</si>
  <si>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</si>
  <si>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</si>
  <si>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</si>
  <si>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</si>
  <si>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</si>
  <si>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</si>
  <si>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</si>
  <si>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</si>
  <si>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</si>
  <si>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</si>
  <si>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</si>
  <si>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</si>
  <si>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</si>
  <si>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</si>
  <si>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</si>
  <si>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</si>
  <si>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</si>
  <si>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</si>
  <si>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</si>
  <si>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</si>
  <si>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</si>
  <si>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</si>
  <si>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</si>
  <si>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</si>
  <si>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</si>
  <si>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</si>
  <si>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</si>
  <si>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</si>
  <si>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</si>
  <si>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</si>
  <si>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</si>
  <si>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</si>
  <si>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</si>
  <si>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</si>
  <si>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</si>
  <si>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</si>
  <si>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</si>
  <si>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</si>
  <si>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</si>
  <si>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</si>
  <si>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</si>
  <si>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</si>
  <si>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</si>
  <si>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</si>
  <si>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</si>
  <si>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</si>
  <si>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</si>
  <si>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</si>
  <si>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</si>
  <si>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</si>
  <si>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</si>
  <si>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</si>
  <si>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</si>
  <si>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</si>
  <si>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</si>
  <si>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</si>
  <si>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</si>
  <si>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</si>
  <si>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</si>
  <si>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</si>
  <si>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</si>
  <si>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</si>
  <si>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</si>
  <si>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</si>
  <si>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</si>
  <si>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</si>
  <si>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</si>
  <si>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</si>
  <si>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</si>
  <si>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</si>
  <si>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</si>
  <si>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</si>
  <si>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</si>
  <si>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</si>
  <si>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</si>
  <si>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</si>
  <si>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</si>
  <si>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</si>
  <si>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</si>
  <si>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</si>
  <si>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</si>
  <si>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</si>
  <si>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</si>
  <si>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</si>
  <si>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</si>
  <si>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</si>
  <si>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</si>
  <si>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</si>
  <si>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</si>
  <si>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</si>
  <si>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</si>
  <si>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</si>
  <si>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</si>
  <si>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</si>
  <si>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</si>
  <si>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</si>
  <si>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</si>
  <si>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</si>
  <si>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</si>
  <si>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</si>
  <si>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</si>
  <si>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</si>
  <si>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</si>
  <si>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</si>
  <si>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</si>
  <si>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</si>
  <si>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</si>
  <si>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</si>
  <si>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</si>
  <si>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</si>
  <si>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</si>
  <si>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</si>
  <si>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</si>
  <si>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</si>
  <si>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</si>
  <si>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</si>
  <si>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</si>
  <si>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</si>
  <si>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</si>
  <si>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</si>
  <si>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</si>
  <si>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</si>
  <si>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</si>
  <si>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</si>
  <si>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</si>
  <si>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</si>
  <si>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</si>
  <si>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</si>
  <si>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</si>
  <si>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</si>
  <si>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</si>
  <si>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</si>
  <si>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</si>
  <si>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</si>
  <si>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</si>
  <si>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</si>
  <si>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</si>
  <si>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</si>
  <si>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</si>
  <si>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</si>
  <si>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</si>
  <si>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</si>
  <si>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</si>
  <si>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</si>
  <si>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</si>
  <si>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</si>
  <si>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</si>
  <si>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</si>
  <si>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</si>
  <si>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</si>
  <si>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</si>
  <si>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</si>
  <si>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</si>
  <si>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</si>
  <si>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</si>
  <si>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</si>
  <si>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</si>
  <si>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</si>
  <si>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</si>
  <si>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</si>
  <si>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</si>
  <si>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</si>
  <si>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</si>
  <si>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</si>
  <si>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</si>
  <si>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</si>
  <si>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</si>
  <si>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</si>
  <si>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</si>
  <si>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</si>
  <si>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</si>
  <si>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</si>
  <si>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</si>
  <si>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</si>
  <si>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</si>
  <si>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</si>
  <si>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</si>
  <si>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</si>
  <si>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</si>
  <si>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</si>
  <si>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</si>
  <si>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</si>
  <si>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</si>
  <si>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</si>
  <si>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</si>
  <si>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</si>
  <si>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</si>
  <si>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</si>
  <si>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</si>
  <si>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</si>
  <si>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</si>
  <si>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</si>
  <si>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</si>
  <si>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</si>
  <si>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</si>
  <si>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</si>
  <si>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</si>
  <si>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</si>
  <si>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</si>
  <si>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</si>
  <si>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</si>
  <si>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</si>
  <si>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</si>
  <si>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</si>
  <si>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</si>
  <si>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</si>
  <si>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</si>
  <si>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</si>
  <si>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</si>
  <si>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</si>
  <si>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</si>
  <si>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</si>
  <si>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</si>
  <si>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</si>
  <si>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</si>
  <si>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</si>
  <si>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</si>
  <si>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</si>
  <si>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</si>
  <si>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</si>
  <si>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</si>
  <si>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</si>
  <si>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</si>
  <si>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</si>
  <si>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</si>
  <si>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</si>
  <si>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</si>
  <si>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</si>
  <si>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</si>
  <si>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</si>
  <si>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</si>
  <si>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</si>
  <si>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</si>
  <si>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</si>
  <si>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</si>
  <si>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</si>
  <si>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</si>
  <si>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</si>
  <si>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</si>
  <si>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</si>
  <si>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</si>
  <si>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</si>
  <si>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</si>
  <si>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</si>
  <si>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</si>
  <si>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</si>
  <si>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</si>
  <si>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</si>
  <si>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</si>
  <si>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</si>
  <si>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</si>
  <si>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</si>
  <si>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</si>
  <si>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</si>
  <si>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</si>
  <si>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</si>
  <si>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</si>
  <si>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</si>
  <si>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</si>
  <si>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</si>
  <si>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</si>
  <si>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</si>
  <si>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</si>
  <si>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</si>
  <si>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</si>
  <si>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</si>
  <si>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</si>
  <si>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</si>
  <si>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</si>
  <si>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</si>
  <si>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</si>
  <si>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</si>
  <si>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</si>
  <si>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</si>
  <si>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</si>
  <si>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</si>
  <si>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</si>
  <si>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</si>
  <si>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</si>
  <si>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</si>
  <si>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</si>
  <si>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</si>
  <si>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</si>
  <si>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</si>
  <si>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</si>
  <si>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</si>
  <si>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</si>
  <si>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</si>
  <si>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</si>
  <si>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</si>
  <si>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</si>
  <si>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</si>
  <si>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</si>
  <si>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</si>
  <si>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</si>
  <si>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</si>
  <si>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</si>
  <si>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</si>
  <si>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</si>
  <si>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</si>
  <si>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</si>
  <si>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</si>
  <si>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</si>
  <si>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</si>
  <si>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</si>
  <si>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</si>
  <si>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</si>
  <si>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</si>
  <si>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</si>
  <si>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</si>
  <si>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</si>
  <si>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</si>
  <si>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</si>
  <si>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</si>
  <si>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</si>
  <si>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</si>
  <si>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</si>
  <si>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</si>
  <si>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</si>
  <si>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</si>
  <si>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</si>
  <si>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</si>
  <si>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</si>
  <si>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</si>
  <si>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</si>
  <si>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</si>
  <si>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</si>
  <si>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</si>
  <si>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</si>
  <si>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</si>
  <si>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</si>
  <si>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</si>
  <si>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</si>
  <si>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</si>
  <si>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</si>
  <si>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</si>
  <si>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</si>
  <si>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</si>
  <si>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</si>
  <si>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</si>
  <si>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</si>
  <si>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</si>
  <si>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</si>
  <si>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</si>
  <si>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</si>
  <si>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</si>
  <si>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</si>
  <si>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</si>
  <si>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</si>
  <si>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</si>
  <si>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</si>
  <si>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</si>
  <si>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</si>
  <si>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</si>
  <si>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</si>
  <si>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</si>
  <si>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</si>
  <si>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</si>
  <si>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</si>
  <si>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</si>
  <si>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</si>
  <si>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</si>
  <si>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</si>
  <si>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</si>
  <si>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</si>
  <si>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</si>
  <si>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</si>
  <si>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</si>
  <si>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</si>
  <si>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</si>
  <si>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</si>
  <si>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</si>
  <si>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</si>
  <si>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</si>
  <si>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</si>
  <si>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</si>
  <si>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</si>
  <si>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</si>
  <si>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</si>
  <si>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</si>
  <si>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</si>
  <si>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</si>
  <si>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</si>
  <si>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</si>
  <si>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</si>
  <si>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</si>
  <si>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</si>
  <si>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</si>
  <si>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</si>
  <si>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</si>
  <si>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</si>
  <si>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</si>
  <si>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</si>
  <si>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</si>
  <si>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</si>
  <si>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</si>
  <si>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</si>
  <si>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</si>
  <si>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</si>
  <si>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</si>
  <si>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</si>
  <si>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</si>
  <si>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</si>
  <si>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</si>
  <si>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</si>
  <si>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</si>
  <si>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</si>
  <si>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</si>
  <si>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</si>
  <si>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</si>
  <si>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</si>
  <si>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</si>
  <si>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</si>
  <si>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</si>
  <si>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</si>
  <si>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</si>
  <si>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</si>
  <si>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</si>
  <si>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</si>
  <si>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</si>
  <si>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</si>
  <si>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</si>
  <si>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</si>
  <si>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</si>
  <si>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</si>
  <si>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</si>
  <si>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</si>
  <si>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</si>
  <si>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</si>
  <si>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</si>
  <si>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</si>
  <si>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</si>
  <si>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</si>
  <si>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</si>
  <si>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</si>
  <si>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</si>
  <si>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</si>
  <si>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</si>
  <si>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</si>
  <si>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</si>
  <si>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</si>
  <si>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</si>
  <si>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</si>
  <si>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</si>
  <si>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</si>
  <si>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</si>
  <si>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</si>
  <si>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</si>
  <si>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</si>
  <si>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</si>
  <si>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</si>
  <si>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</si>
  <si>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</si>
  <si>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</si>
  <si>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</si>
  <si>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</si>
  <si>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</si>
  <si>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</si>
  <si>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</si>
  <si>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</si>
  <si>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</si>
  <si>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</si>
  <si>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</si>
  <si>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</si>
  <si>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</si>
  <si>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</si>
  <si>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</si>
  <si>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</si>
  <si>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</si>
  <si>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</si>
  <si>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</si>
  <si>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</si>
  <si>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</si>
  <si>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</si>
  <si>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</si>
  <si>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</si>
  <si>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</si>
  <si>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</si>
  <si>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</si>
  <si>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</si>
  <si>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</si>
  <si>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</si>
  <si>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</si>
  <si>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</si>
  <si>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</si>
  <si>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</si>
  <si>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</si>
  <si>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</si>
  <si>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</si>
  <si>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</si>
  <si>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</si>
  <si>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</si>
  <si>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</si>
  <si>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</si>
  <si>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</si>
  <si>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</si>
  <si>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</si>
  <si>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</si>
  <si>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</si>
  <si>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</si>
  <si>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</si>
  <si>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</si>
  <si>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</si>
  <si>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</si>
  <si>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</si>
  <si>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</si>
  <si>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</si>
  <si>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</si>
  <si>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</si>
  <si>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</si>
  <si>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</si>
  <si>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</si>
  <si>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</si>
  <si>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</si>
  <si>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</si>
  <si>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</si>
  <si>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</si>
  <si>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</si>
  <si>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</si>
  <si>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</si>
  <si>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</si>
  <si>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</si>
  <si>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</si>
  <si>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</si>
  <si>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</si>
  <si>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</si>
  <si>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</si>
  <si>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</si>
  <si>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</si>
  <si>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</si>
  <si>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</si>
  <si>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</si>
  <si>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</si>
  <si>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</si>
  <si>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</si>
  <si>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</si>
  <si>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</si>
  <si>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</si>
  <si>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</si>
  <si>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</si>
  <si>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</si>
  <si>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</si>
  <si>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</si>
  <si>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</si>
  <si>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</si>
  <si>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</si>
  <si>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</si>
  <si>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</si>
  <si>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</si>
  <si>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</si>
  <si>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</si>
  <si>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</si>
  <si>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</si>
  <si>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</si>
  <si>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</si>
  <si>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</si>
  <si>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</si>
  <si>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</si>
  <si>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</si>
  <si>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</si>
  <si>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</si>
  <si>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</si>
  <si>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</si>
  <si>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</si>
  <si>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</si>
  <si>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</si>
  <si>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</si>
  <si>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</si>
  <si>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</si>
  <si>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</si>
  <si>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 xml:space="preserve">Concreto para fundação rasa e profunda </t>
  </si>
  <si>
    <t xml:space="preserve">Serviço de Hélice Contínua 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</si>
  <si>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</si>
  <si>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</si>
  <si>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</si>
  <si>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</si>
  <si>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</si>
  <si>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tubulação de drenagem pluvial </t>
  </si>
  <si>
    <t xml:space="preserve">Rufo de acabamento </t>
  </si>
  <si>
    <t>Rufo de encontro dos galpões</t>
  </si>
  <si>
    <t xml:space="preserve">Mão de obra para montagem e cobertura 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</si>
  <si>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</si>
  <si>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</si>
  <si>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</si>
  <si>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</si>
  <si>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</si>
  <si>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</si>
  <si>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</si>
  <si>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</si>
  <si>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</si>
  <si>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</si>
  <si>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</si>
  <si>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</si>
  <si>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</si>
  <si>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</si>
  <si>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</si>
  <si>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</si>
  <si>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</si>
  <si>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</si>
  <si>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</si>
  <si>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</si>
  <si>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</si>
  <si>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</si>
  <si>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</si>
  <si>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</si>
  <si>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</si>
  <si>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</si>
  <si>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</si>
  <si>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</si>
  <si>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Verificar final</t>
  </si>
  <si>
    <t>pç</t>
  </si>
  <si>
    <t>R$ 50,00/m³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</si>
  <si>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</si>
  <si>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</si>
  <si>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</si>
  <si>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</si>
  <si>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Mão de obra para concretagem do piso e instalação do meio-fio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</si>
  <si>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</si>
  <si>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</si>
  <si>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</si>
  <si>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</si>
  <si>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</si>
  <si>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</si>
  <si>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</si>
  <si>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</si>
  <si>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</si>
  <si>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</si>
  <si>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</si>
  <si>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</si>
  <si>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cálices e concretagem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</si>
  <si>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</si>
  <si>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</si>
  <si>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</si>
  <si>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</si>
  <si>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</si>
  <si>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</si>
  <si>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</si>
  <si>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</si>
  <si>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</si>
  <si>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</si>
  <si>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</si>
  <si>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</si>
  <si>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</si>
  <si>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</si>
  <si>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Estrtura do Galpão</t>
  </si>
  <si>
    <t>Galpão em estrutura metálica 50 x 40 x 12m - Fechamentos inclusos M.O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</si>
  <si>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</si>
  <si>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</si>
  <si>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</si>
  <si>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</si>
  <si>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</si>
  <si>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Frete do material de telhado</t>
  </si>
  <si>
    <t>cx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</si>
</sst>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4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44" fontId="3" fillId="0" borderId="0" xfId="1" applyFont="1" applyAlignment="1">
      <alignment horizontal="center" vertical="center"/>
    </xf>
    <xf numFmtId="44" fontId="3" fillId="0" borderId="0" xfId="1" applyFont="1" applyAlignment="1">
      <alignment horizont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1" fontId="4" fillId="0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0" fontId="4" fillId="0" borderId="0" xfId="0" applyFont="1" applyFill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1" fontId="3" fillId="0" borderId="0" xfId="0" applyNumberFormat="1" applyFont="1" applyFill="1" applyAlignment="1">
      <alignment horizontal="center"/>
    </xf>
    <xf numFmtId="0" fontId="3" fillId="5" borderId="0" xfId="0" applyFont="1" applyFill="1" applyAlignment="1">
      <alignment wrapText="1"/>
    </xf>
  </cellXfs>
  <cellStyles count="3">
    <cellStyle name="Moeda" xfId="1" builtinId="4"/>
    <cellStyle name="Normal" xfId="0" builtinId="0"/>
    <cellStyle name="Porcentagem" xfId="2" builtinId="5"/>
  </cellStyles>
  <dxfs count="17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6" totalsRowShown="0" dataDxfId="7">
  <autoFilter ref="B3:H46"/>
  <sortState ref="B4:H46">
    <sortCondition ref="H3:H46"/>
  </sortState>
  <tableColumns count="7">
    <tableColumn id="1" name="Item" dataDxfId="6" dataCellStyle="Normal"/>
    <tableColumn id="2" name="Descrição" dataDxfId="5" dataCellStyle="Normal"/>
    <tableColumn id="3" name="Quantidade" dataDxfId="4" dataCellStyle="Normal"/>
    <tableColumn id="4" name="Unidade" dataDxfId="3" dataCellStyle="Normal"/>
    <tableColumn id="5" name="Preço Unitário" dataDxfId="2" dataCellStyle="Moeda"/>
    <tableColumn id="6" name="Preço Total" dataDxfId="1" dataCellStyle="Moeda">
      <calculatedColumnFormula>F4*D4</calculatedColumnFormula>
    </tableColumn>
    <tableColumn id="7" name="Aplicação" dataDxfId="0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48" totalsRowShown="0" dataDxfId="16">
  <autoFilter ref="B3:I48"/>
  <sortState ref="B4:I48">
    <sortCondition ref="I3:I48"/>
  </sortState>
  <tableColumns count="8">
    <tableColumn id="1" name="Item" dataDxfId="15" dataCellStyle="Normal"/>
    <tableColumn id="8" name="Local" dataDxfId="14"/>
    <tableColumn id="2" name="Descrição" dataDxfId="13" dataCellStyle="Normal"/>
    <tableColumn id="3" name="Quantidade" dataDxfId="12" dataCellStyle="Normal"/>
    <tableColumn id="4" name="Unidade" dataDxfId="11" dataCellStyle="Normal"/>
    <tableColumn id="5" name="Preço Unitário" dataDxfId="10" dataCellStyle="Moeda"/>
    <tableColumn id="6" name="Preço Total" dataDxfId="9" dataCellStyle="Moeda">
      <calculatedColumnFormula>G4*E4</calculatedColumnFormula>
    </tableColumn>
    <tableColumn id="7" name="Aplicação" dataDxfId="8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9"/>
  <sheetViews>
    <sheetView tabSelected="1" topLeftCell="A10" workbookViewId="0">
      <selection activeCell="E37" sqref="E37"/>
    </sheetView>
  </sheetViews>
  <sheetFormatPr defaultRowHeight="15" x14ac:dyDescent="0.25"/>
  <cols>
    <col min="2" max="2" width="9.140625" style="14"/>
    <col min="3" max="3" width="90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824</v>
      </c>
    </row>
    <row r="4" spans="2:10" s="14" customFormat="1" x14ac:dyDescent="0.25">
      <c r="B4" s="27">
        <v>1</v>
      </c>
      <c r="C4" s="21" t="s">
        <v>778</v>
      </c>
      <c r="D4" s="22"/>
      <c r="E4" s="22"/>
      <c r="F4" s="19"/>
      <c r="G4" s="19">
        <f>F4*D4</f>
        <v>0</v>
      </c>
      <c r="H4" s="22" t="s">
        <v>785</v>
      </c>
      <c r="J4" s="40">
        <f>SUMIF(Tabela2[Aplicação],"Fundação",Tabela2[Preço Total])</f>
        <v>298280</v>
      </c>
    </row>
    <row r="5" spans="2:10" x14ac:dyDescent="0.25">
      <c r="B5" s="27">
        <v>2</v>
      </c>
      <c r="C5" s="21" t="s">
        <v>780</v>
      </c>
      <c r="D5" s="22"/>
      <c r="E5" s="22"/>
      <c r="F5" s="19"/>
      <c r="G5" s="19">
        <f>F5*D5</f>
        <v>0</v>
      </c>
      <c r="H5" s="22" t="s">
        <v>449</v>
      </c>
      <c r="J5" s="40">
        <f>SUMIF(Tabela2[Aplicação],"Piso",Tabela2[Preço Total])</f>
        <v>361131.5538461539</v>
      </c>
    </row>
    <row r="6" spans="2:10" x14ac:dyDescent="0.25">
      <c r="B6" s="27">
        <v>3</v>
      </c>
      <c r="C6" s="21" t="s">
        <v>781</v>
      </c>
      <c r="D6" s="22"/>
      <c r="E6" s="22"/>
      <c r="F6" s="19"/>
      <c r="G6" s="19">
        <f>F6*D6</f>
        <v>0</v>
      </c>
      <c r="H6" s="22" t="s">
        <v>449</v>
      </c>
      <c r="J6" s="40">
        <f>SUMIF(Tabela2[Aplicação],"Pré Moldado",Tabela2[Preço Total])</f>
        <v>0</v>
      </c>
    </row>
    <row r="7" spans="2:10" x14ac:dyDescent="0.25">
      <c r="B7" s="27">
        <v>4</v>
      </c>
      <c r="C7" s="25" t="s">
        <v>792</v>
      </c>
      <c r="D7" s="24">
        <v>10</v>
      </c>
      <c r="E7" s="24" t="s">
        <v>760</v>
      </c>
      <c r="F7" s="26"/>
      <c r="G7" s="26">
        <f>F7*D7</f>
        <v>0</v>
      </c>
      <c r="H7" s="24" t="s">
        <v>643</v>
      </c>
      <c r="J7" s="40">
        <f>SUMIF(Tabela2[Aplicação],"Fechamento Lateral",Tabela2[Preço Total])</f>
        <v>0</v>
      </c>
    </row>
    <row r="8" spans="2:10" x14ac:dyDescent="0.25">
      <c r="B8" s="27">
        <v>5</v>
      </c>
      <c r="C8" s="25" t="s">
        <v>793</v>
      </c>
      <c r="D8" s="24">
        <v>500</v>
      </c>
      <c r="E8" s="24" t="s">
        <v>761</v>
      </c>
      <c r="F8" s="26">
        <v>2.35</v>
      </c>
      <c r="G8" s="26">
        <f>F8*D8</f>
        <v>1175</v>
      </c>
      <c r="H8" s="24" t="s">
        <v>643</v>
      </c>
      <c r="J8" s="40">
        <f>SUMIF(Tabela2[Aplicação],"AVCB",Tabela2[Preço Total])</f>
        <v>0</v>
      </c>
    </row>
    <row r="9" spans="2:10" x14ac:dyDescent="0.25">
      <c r="B9" s="27">
        <v>6</v>
      </c>
      <c r="C9" s="25" t="s">
        <v>796</v>
      </c>
      <c r="D9" s="24"/>
      <c r="E9" s="24"/>
      <c r="F9" s="26"/>
      <c r="G9" s="26">
        <f>F9*D9</f>
        <v>0</v>
      </c>
      <c r="H9" s="24" t="s">
        <v>799</v>
      </c>
      <c r="J9" s="40">
        <f>SUMIF(Tabela2[Aplicação],"SPDA",Tabela2[Preço Total])</f>
        <v>0</v>
      </c>
    </row>
    <row r="10" spans="2:10" x14ac:dyDescent="0.25">
      <c r="B10" s="27">
        <v>7</v>
      </c>
      <c r="C10" s="21" t="s">
        <v>803</v>
      </c>
      <c r="D10" s="22"/>
      <c r="E10" s="22"/>
      <c r="F10" s="19"/>
      <c r="G10" s="19">
        <f>F10*D10</f>
        <v>0</v>
      </c>
      <c r="H10" s="22" t="s">
        <v>776</v>
      </c>
      <c r="J10" s="40">
        <f>SUMIF(Tabela2[Aplicação],"Terraplanagem",Tabela2[Preço Total])</f>
        <v>157963.5</v>
      </c>
    </row>
    <row r="11" spans="2:10" x14ac:dyDescent="0.25">
      <c r="B11" s="27">
        <v>8</v>
      </c>
      <c r="C11" s="21" t="s">
        <v>801</v>
      </c>
      <c r="D11" s="22"/>
      <c r="E11" s="22"/>
      <c r="F11" s="19"/>
      <c r="G11" s="19">
        <f>F11*D11</f>
        <v>0</v>
      </c>
      <c r="H11" s="22" t="s">
        <v>776</v>
      </c>
      <c r="J11" s="40">
        <f>SUMIF(Tabela2[Aplicação],"Drenagem",Tabela2[Preço Total])</f>
        <v>0</v>
      </c>
    </row>
    <row r="12" spans="2:10" x14ac:dyDescent="0.25">
      <c r="B12" s="27">
        <v>9</v>
      </c>
      <c r="C12" s="25" t="s">
        <v>782</v>
      </c>
      <c r="D12" s="24"/>
      <c r="E12" s="24"/>
      <c r="F12" s="26"/>
      <c r="G12" s="26">
        <f>F12*D12</f>
        <v>0</v>
      </c>
      <c r="H12" s="24" t="s">
        <v>776</v>
      </c>
      <c r="J12" s="40">
        <f>SUMIF(Tabela2[Aplicação],"Elétrica",Tabela2[Preço Total])</f>
        <v>1175</v>
      </c>
    </row>
    <row r="13" spans="2:10" x14ac:dyDescent="0.25">
      <c r="B13" s="27">
        <v>10</v>
      </c>
      <c r="C13" s="25" t="s">
        <v>783</v>
      </c>
      <c r="D13" s="24"/>
      <c r="E13" s="24"/>
      <c r="F13" s="26"/>
      <c r="G13" s="26">
        <f>F13*D13</f>
        <v>0</v>
      </c>
      <c r="H13" s="24" t="s">
        <v>776</v>
      </c>
      <c r="J13" s="40">
        <f>SUMIF(Tabela2[Aplicação],"Pintura",Tabela2[Preço Total])</f>
        <v>0</v>
      </c>
    </row>
    <row r="14" spans="2:10" x14ac:dyDescent="0.25">
      <c r="B14" s="27">
        <v>11</v>
      </c>
      <c r="C14" s="25" t="s">
        <v>784</v>
      </c>
      <c r="D14" s="24"/>
      <c r="E14" s="24"/>
      <c r="F14" s="26"/>
      <c r="G14" s="26">
        <f>F14*D14</f>
        <v>0</v>
      </c>
      <c r="H14" s="24" t="s">
        <v>776</v>
      </c>
      <c r="J14" s="40">
        <f>SUMIF(Tabela2[Aplicação],"Estrura Armazenamento",Tabela2[Preço Total])</f>
        <v>0</v>
      </c>
    </row>
    <row r="15" spans="2:10" x14ac:dyDescent="0.25">
      <c r="B15" s="27">
        <v>12</v>
      </c>
      <c r="C15" s="25" t="s">
        <v>845</v>
      </c>
      <c r="D15" s="24"/>
      <c r="E15" s="24"/>
      <c r="F15" s="26"/>
      <c r="G15" s="26">
        <f>F15*D15</f>
        <v>0</v>
      </c>
      <c r="H15" s="24" t="s">
        <v>776</v>
      </c>
      <c r="J15" s="40">
        <f>SUMIF(Tabela2[Aplicação],"Serviço Prévio",Tabela2[Preço Total])</f>
        <v>0</v>
      </c>
    </row>
    <row r="16" spans="2:10" x14ac:dyDescent="0.25">
      <c r="B16" s="27">
        <v>13</v>
      </c>
      <c r="C16" s="28" t="s">
        <v>800</v>
      </c>
      <c r="D16" s="29">
        <v>4</v>
      </c>
      <c r="E16" s="29" t="s">
        <v>760</v>
      </c>
      <c r="F16" s="30">
        <v>1500</v>
      </c>
      <c r="G16" s="30">
        <f>Tabela2[[#This Row],[Preço Unitário]]*Tabela2[[#This Row],[Quantidade]]</f>
        <v>6000</v>
      </c>
      <c r="H16" s="29" t="s">
        <v>771</v>
      </c>
      <c r="J16" s="40"/>
    </row>
    <row r="17" spans="2:9" x14ac:dyDescent="0.25">
      <c r="B17" s="27">
        <v>14</v>
      </c>
      <c r="C17" s="18" t="s">
        <v>798</v>
      </c>
      <c r="D17" s="17">
        <v>1</v>
      </c>
      <c r="E17" s="17" t="s">
        <v>760</v>
      </c>
      <c r="F17" s="20">
        <v>4500</v>
      </c>
      <c r="G17" s="20">
        <f>F17*D17</f>
        <v>4500</v>
      </c>
      <c r="H17" s="17" t="s">
        <v>771</v>
      </c>
    </row>
    <row r="18" spans="2:9" x14ac:dyDescent="0.25">
      <c r="B18" s="27">
        <v>15</v>
      </c>
      <c r="C18" s="18" t="s">
        <v>769</v>
      </c>
      <c r="D18" s="17">
        <v>2100</v>
      </c>
      <c r="E18" s="17" t="s">
        <v>843</v>
      </c>
      <c r="F18" s="20"/>
      <c r="G18" s="20">
        <f>F18*D18</f>
        <v>0</v>
      </c>
      <c r="H18" s="17" t="s">
        <v>771</v>
      </c>
    </row>
    <row r="19" spans="2:9" x14ac:dyDescent="0.25">
      <c r="B19" s="27">
        <v>16</v>
      </c>
      <c r="C19" s="18" t="s">
        <v>770</v>
      </c>
      <c r="D19" s="17">
        <v>2300</v>
      </c>
      <c r="E19" s="17" t="s">
        <v>843</v>
      </c>
      <c r="F19" s="20"/>
      <c r="G19" s="20">
        <f>F19*D19</f>
        <v>0</v>
      </c>
      <c r="H19" s="17" t="s">
        <v>771</v>
      </c>
      <c r="I19" s="14" t="s">
        <v>844</v>
      </c>
    </row>
    <row r="20" spans="2:9" x14ac:dyDescent="0.25">
      <c r="B20" s="27">
        <v>17</v>
      </c>
      <c r="C20" s="18" t="s">
        <v>840</v>
      </c>
      <c r="D20" s="17">
        <v>1</v>
      </c>
      <c r="E20" s="17" t="s">
        <v>760</v>
      </c>
      <c r="F20" s="20">
        <v>51500</v>
      </c>
      <c r="G20" s="20">
        <f>F20*D20</f>
        <v>51500</v>
      </c>
      <c r="H20" s="17" t="s">
        <v>771</v>
      </c>
      <c r="I20" s="14" t="s">
        <v>844</v>
      </c>
    </row>
    <row r="21" spans="2:9" x14ac:dyDescent="0.25">
      <c r="B21" s="27">
        <v>18</v>
      </c>
      <c r="C21" s="18" t="s">
        <v>833</v>
      </c>
      <c r="D21" s="17">
        <v>1</v>
      </c>
      <c r="E21" s="17" t="s">
        <v>760</v>
      </c>
      <c r="F21" s="20">
        <v>180000</v>
      </c>
      <c r="G21" s="20">
        <f>F21*D21</f>
        <v>180000</v>
      </c>
      <c r="H21" s="17" t="s">
        <v>771</v>
      </c>
    </row>
    <row r="22" spans="2:9" x14ac:dyDescent="0.25">
      <c r="B22" s="27">
        <v>19</v>
      </c>
      <c r="C22" s="18" t="s">
        <v>841</v>
      </c>
      <c r="D22" s="23">
        <v>46.8</v>
      </c>
      <c r="E22" s="17" t="s">
        <v>759</v>
      </c>
      <c r="F22" s="20">
        <v>670</v>
      </c>
      <c r="G22" s="20">
        <f>F22*D22</f>
        <v>31355.999999999996</v>
      </c>
      <c r="H22" s="17" t="s">
        <v>771</v>
      </c>
    </row>
    <row r="23" spans="2:9" x14ac:dyDescent="0.25">
      <c r="B23" s="27">
        <v>20</v>
      </c>
      <c r="C23" s="18" t="s">
        <v>842</v>
      </c>
      <c r="D23" s="23">
        <v>37.200000000000003</v>
      </c>
      <c r="E23" s="17" t="s">
        <v>759</v>
      </c>
      <c r="F23" s="20">
        <v>670</v>
      </c>
      <c r="G23" s="20">
        <f>F23*D23</f>
        <v>24924.000000000004</v>
      </c>
      <c r="H23" s="17" t="s">
        <v>771</v>
      </c>
    </row>
    <row r="24" spans="2:9" x14ac:dyDescent="0.25">
      <c r="B24" s="27">
        <v>22</v>
      </c>
      <c r="C24" s="21" t="s">
        <v>779</v>
      </c>
      <c r="D24" s="22"/>
      <c r="E24" s="22"/>
      <c r="F24" s="19"/>
      <c r="G24" s="19">
        <f>F24*D24</f>
        <v>0</v>
      </c>
      <c r="H24" s="22" t="s">
        <v>771</v>
      </c>
    </row>
    <row r="25" spans="2:9" x14ac:dyDescent="0.25">
      <c r="B25" s="27">
        <v>23</v>
      </c>
      <c r="C25" s="25" t="s">
        <v>788</v>
      </c>
      <c r="D25" s="24"/>
      <c r="E25" s="24"/>
      <c r="F25" s="26"/>
      <c r="G25" s="26">
        <f>F25*D25</f>
        <v>0</v>
      </c>
      <c r="H25" s="24" t="s">
        <v>576</v>
      </c>
    </row>
    <row r="26" spans="2:9" x14ac:dyDescent="0.25">
      <c r="B26" s="27">
        <v>24</v>
      </c>
      <c r="C26" s="25" t="s">
        <v>789</v>
      </c>
      <c r="D26" s="24"/>
      <c r="E26" s="24"/>
      <c r="F26" s="26"/>
      <c r="G26" s="26">
        <f>F26*D26</f>
        <v>0</v>
      </c>
      <c r="H26" s="24" t="s">
        <v>576</v>
      </c>
    </row>
    <row r="27" spans="2:9" x14ac:dyDescent="0.25">
      <c r="B27" s="27">
        <v>25</v>
      </c>
      <c r="C27" s="25" t="s">
        <v>790</v>
      </c>
      <c r="D27" s="24"/>
      <c r="E27" s="24"/>
      <c r="F27" s="26"/>
      <c r="G27" s="26">
        <f>F27*D27</f>
        <v>0</v>
      </c>
      <c r="H27" s="24" t="s">
        <v>576</v>
      </c>
    </row>
    <row r="28" spans="2:9" x14ac:dyDescent="0.25">
      <c r="B28" s="27">
        <v>26</v>
      </c>
      <c r="C28" s="25" t="s">
        <v>791</v>
      </c>
      <c r="D28" s="24"/>
      <c r="E28" s="24"/>
      <c r="F28" s="26"/>
      <c r="G28" s="26">
        <f>F28*D28</f>
        <v>0</v>
      </c>
      <c r="H28" s="24" t="s">
        <v>576</v>
      </c>
    </row>
    <row r="29" spans="2:9" x14ac:dyDescent="0.25">
      <c r="B29" s="27">
        <v>27</v>
      </c>
      <c r="C29" s="31" t="s">
        <v>757</v>
      </c>
      <c r="D29" s="27">
        <f>(2000*1.05)*0.15</f>
        <v>315</v>
      </c>
      <c r="E29" s="27" t="s">
        <v>759</v>
      </c>
      <c r="F29" s="32">
        <v>670</v>
      </c>
      <c r="G29" s="32">
        <f>F29*D29</f>
        <v>211050</v>
      </c>
      <c r="H29" s="27" t="s">
        <v>635</v>
      </c>
    </row>
    <row r="30" spans="2:9" x14ac:dyDescent="0.25">
      <c r="B30" s="27">
        <v>28</v>
      </c>
      <c r="C30" s="31" t="s">
        <v>777</v>
      </c>
      <c r="D30" s="33">
        <f>2000/13*2</f>
        <v>307.69230769230768</v>
      </c>
      <c r="E30" s="27" t="s">
        <v>760</v>
      </c>
      <c r="F30" s="32">
        <v>220.5</v>
      </c>
      <c r="G30" s="32">
        <f>F30*D30</f>
        <v>67846.153846153844</v>
      </c>
      <c r="H30" s="27" t="s">
        <v>635</v>
      </c>
    </row>
    <row r="31" spans="2:9" x14ac:dyDescent="0.25">
      <c r="B31" s="27">
        <v>29</v>
      </c>
      <c r="C31" s="31" t="s">
        <v>758</v>
      </c>
      <c r="D31" s="27">
        <v>167</v>
      </c>
      <c r="E31" s="27" t="s">
        <v>814</v>
      </c>
      <c r="F31" s="32">
        <v>56.2</v>
      </c>
      <c r="G31" s="32">
        <f>F31*D31</f>
        <v>9385.4</v>
      </c>
      <c r="H31" s="27" t="s">
        <v>635</v>
      </c>
    </row>
    <row r="32" spans="2:9" x14ac:dyDescent="0.25">
      <c r="B32" s="27">
        <v>30</v>
      </c>
      <c r="C32" s="31" t="s">
        <v>762</v>
      </c>
      <c r="D32" s="27">
        <v>1000</v>
      </c>
      <c r="E32" s="27" t="s">
        <v>763</v>
      </c>
      <c r="F32" s="32">
        <v>7.3</v>
      </c>
      <c r="G32" s="32">
        <f>F32*D32</f>
        <v>7300</v>
      </c>
      <c r="H32" s="27" t="s">
        <v>635</v>
      </c>
    </row>
    <row r="33" spans="2:8" x14ac:dyDescent="0.25">
      <c r="B33" s="27">
        <v>31</v>
      </c>
      <c r="C33" s="31" t="s">
        <v>804</v>
      </c>
      <c r="D33" s="27">
        <v>315</v>
      </c>
      <c r="E33" s="27" t="s">
        <v>759</v>
      </c>
      <c r="F33" s="32">
        <v>50</v>
      </c>
      <c r="G33" s="32">
        <f>F33*D33</f>
        <v>15750</v>
      </c>
      <c r="H33" s="27" t="s">
        <v>635</v>
      </c>
    </row>
    <row r="34" spans="2:8" x14ac:dyDescent="0.25">
      <c r="B34" s="27">
        <v>32</v>
      </c>
      <c r="C34" s="31" t="s">
        <v>768</v>
      </c>
      <c r="D34" s="27">
        <v>1</v>
      </c>
      <c r="E34" s="27" t="s">
        <v>760</v>
      </c>
      <c r="F34" s="32">
        <v>49800</v>
      </c>
      <c r="G34" s="32">
        <f>F34*D34</f>
        <v>49800</v>
      </c>
      <c r="H34" s="27" t="s">
        <v>635</v>
      </c>
    </row>
    <row r="35" spans="2:8" x14ac:dyDescent="0.25">
      <c r="B35" s="27">
        <v>33</v>
      </c>
      <c r="C35" s="31" t="s">
        <v>849</v>
      </c>
      <c r="D35" s="27">
        <v>1</v>
      </c>
      <c r="E35" s="27" t="s">
        <v>760</v>
      </c>
      <c r="F35" s="32">
        <v>1056959.67</v>
      </c>
      <c r="G35" s="32">
        <f>F35*D35</f>
        <v>1056959.67</v>
      </c>
      <c r="H35" s="27" t="s">
        <v>848</v>
      </c>
    </row>
    <row r="36" spans="2:8" x14ac:dyDescent="0.25">
      <c r="B36" s="27">
        <v>34</v>
      </c>
      <c r="C36" s="25" t="s">
        <v>806</v>
      </c>
      <c r="D36" s="24">
        <v>1</v>
      </c>
      <c r="E36" s="24" t="s">
        <v>760</v>
      </c>
      <c r="F36" s="26"/>
      <c r="G36" s="26">
        <f>F36*D36</f>
        <v>0</v>
      </c>
      <c r="H36" s="24" t="s">
        <v>807</v>
      </c>
    </row>
    <row r="37" spans="2:8" x14ac:dyDescent="0.25">
      <c r="B37" s="27">
        <v>35</v>
      </c>
      <c r="C37" s="25" t="s">
        <v>819</v>
      </c>
      <c r="D37" s="24">
        <v>1</v>
      </c>
      <c r="E37" s="24" t="s">
        <v>760</v>
      </c>
      <c r="F37" s="26"/>
      <c r="G37" s="26">
        <f>F37*D37</f>
        <v>0</v>
      </c>
      <c r="H37" s="24" t="s">
        <v>807</v>
      </c>
    </row>
    <row r="38" spans="2:8" x14ac:dyDescent="0.25">
      <c r="B38" s="27">
        <v>36</v>
      </c>
      <c r="C38" s="21" t="s">
        <v>794</v>
      </c>
      <c r="D38" s="22"/>
      <c r="E38" s="22"/>
      <c r="F38" s="19"/>
      <c r="G38" s="19">
        <f>F38*D38</f>
        <v>0</v>
      </c>
      <c r="H38" s="22" t="s">
        <v>419</v>
      </c>
    </row>
    <row r="39" spans="2:8" x14ac:dyDescent="0.25">
      <c r="B39" s="27">
        <v>37</v>
      </c>
      <c r="C39" s="48" t="s">
        <v>850</v>
      </c>
      <c r="D39" s="27">
        <v>1455.89</v>
      </c>
      <c r="E39" s="27" t="s">
        <v>761</v>
      </c>
      <c r="F39" s="36">
        <v>95.9</v>
      </c>
      <c r="G39" s="36">
        <f>Tabela2[[#This Row],[Preço Unitário]]*Tabela2[[#This Row],[Quantidade]]</f>
        <v>139619.85100000002</v>
      </c>
      <c r="H39" s="27" t="s">
        <v>802</v>
      </c>
    </row>
    <row r="40" spans="2:8" x14ac:dyDescent="0.25">
      <c r="B40" s="27">
        <v>38</v>
      </c>
      <c r="C40" s="31" t="s">
        <v>851</v>
      </c>
      <c r="D40" s="27">
        <v>706.94</v>
      </c>
      <c r="E40" s="27" t="s">
        <v>761</v>
      </c>
      <c r="F40" s="36">
        <v>95.9</v>
      </c>
      <c r="G40" s="36">
        <f>Tabela2[[#This Row],[Preço Unitário]]*Tabela2[[#This Row],[Quantidade]]</f>
        <v>67795.546000000002</v>
      </c>
      <c r="H40" s="27" t="s">
        <v>802</v>
      </c>
    </row>
    <row r="41" spans="2:8" x14ac:dyDescent="0.25">
      <c r="B41" s="27">
        <v>39</v>
      </c>
      <c r="C41" t="s">
        <v>852</v>
      </c>
      <c r="D41" s="27">
        <v>44</v>
      </c>
      <c r="E41" s="27" t="s">
        <v>856</v>
      </c>
      <c r="F41" s="36">
        <v>95</v>
      </c>
      <c r="G41" s="36">
        <f>Tabela2[[#This Row],[Preço Unitário]]*Tabela2[[#This Row],[Quantidade]]</f>
        <v>4180</v>
      </c>
      <c r="H41" s="27" t="s">
        <v>802</v>
      </c>
    </row>
    <row r="42" spans="2:8" x14ac:dyDescent="0.25">
      <c r="B42" s="27">
        <v>40</v>
      </c>
      <c r="C42" t="s">
        <v>853</v>
      </c>
      <c r="D42" s="27">
        <v>3</v>
      </c>
      <c r="E42" s="27" t="s">
        <v>856</v>
      </c>
      <c r="F42" s="36">
        <v>35</v>
      </c>
      <c r="G42" s="36">
        <f>Tabela2[[#This Row],[Preço Unitário]]*Tabela2[[#This Row],[Quantidade]]</f>
        <v>105</v>
      </c>
      <c r="H42" s="27" t="s">
        <v>802</v>
      </c>
    </row>
    <row r="43" spans="2:8" x14ac:dyDescent="0.25">
      <c r="B43" s="27">
        <v>41</v>
      </c>
      <c r="C43" t="s">
        <v>854</v>
      </c>
      <c r="D43" s="27">
        <v>126</v>
      </c>
      <c r="E43" s="27" t="s">
        <v>760</v>
      </c>
      <c r="F43" s="36">
        <v>25.9</v>
      </c>
      <c r="G43" s="36">
        <f>Tabela2[[#This Row],[Preço Unitário]]*Tabela2[[#This Row],[Quantidade]]</f>
        <v>3263.3999999999996</v>
      </c>
      <c r="H43" s="27" t="s">
        <v>802</v>
      </c>
    </row>
    <row r="44" spans="2:8" x14ac:dyDescent="0.25">
      <c r="B44" s="27"/>
      <c r="C44" t="s">
        <v>855</v>
      </c>
      <c r="D44" s="27">
        <v>1</v>
      </c>
      <c r="E44" s="27" t="s">
        <v>760</v>
      </c>
      <c r="F44" s="36">
        <v>1750</v>
      </c>
      <c r="G44" s="36">
        <f>F44*D44</f>
        <v>1750</v>
      </c>
      <c r="H44" s="27" t="s">
        <v>802</v>
      </c>
    </row>
    <row r="45" spans="2:8" x14ac:dyDescent="0.25">
      <c r="B45" s="27">
        <v>42</v>
      </c>
      <c r="C45" s="31" t="s">
        <v>787</v>
      </c>
      <c r="D45" s="27">
        <v>1</v>
      </c>
      <c r="E45" s="27" t="s">
        <v>760</v>
      </c>
      <c r="F45" s="36">
        <v>157963.5</v>
      </c>
      <c r="G45" s="36">
        <f>F45*D45</f>
        <v>157963.5</v>
      </c>
      <c r="H45" s="27" t="s">
        <v>786</v>
      </c>
    </row>
    <row r="46" spans="2:8" x14ac:dyDescent="0.25">
      <c r="B46" s="27"/>
      <c r="C46" s="25" t="s">
        <v>846</v>
      </c>
      <c r="D46" s="24"/>
      <c r="E46" s="24"/>
      <c r="F46" s="26"/>
      <c r="G46" s="26">
        <f>F46*D46</f>
        <v>0</v>
      </c>
      <c r="H46" s="24" t="s">
        <v>847</v>
      </c>
    </row>
    <row r="47" spans="2:8" x14ac:dyDescent="0.25">
      <c r="B47" s="24"/>
      <c r="C47" s="25"/>
      <c r="D47" s="24"/>
      <c r="E47" s="24"/>
      <c r="F47" s="26"/>
      <c r="G47" s="26"/>
      <c r="H47" s="24"/>
    </row>
    <row r="48" spans="2:8" x14ac:dyDescent="0.25">
      <c r="B48" s="24"/>
      <c r="C48" s="25"/>
      <c r="D48" s="24"/>
      <c r="E48" s="24"/>
      <c r="F48" s="26"/>
      <c r="G48" s="26"/>
      <c r="H48" s="24"/>
    </row>
    <row r="49" spans="7:7" x14ac:dyDescent="0.25">
      <c r="G49" s="16">
        <f>SUM(Tabela2[Preço Total])</f>
        <v>2092223.5208461538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51"/>
  <sheetViews>
    <sheetView topLeftCell="A7" workbookViewId="0">
      <selection activeCell="I23" sqref="B23:I23"/>
    </sheetView>
  </sheetViews>
  <sheetFormatPr defaultRowHeight="15" x14ac:dyDescent="0.25"/>
  <cols>
    <col min="2" max="2" width="9.140625" style="14"/>
    <col min="3" max="3" width="20" style="14" hidden="1" customWidth="1"/>
    <col min="4" max="4" width="63.85546875" customWidth="1"/>
    <col min="5" max="5" width="13.5703125" style="14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830</v>
      </c>
    </row>
    <row r="2" spans="2:18" x14ac:dyDescent="0.25">
      <c r="P2" s="14" t="s">
        <v>831</v>
      </c>
    </row>
    <row r="3" spans="2:18" s="14" customFormat="1" x14ac:dyDescent="0.25">
      <c r="B3" s="14" t="s">
        <v>753</v>
      </c>
      <c r="C3" s="14" t="s">
        <v>809</v>
      </c>
      <c r="D3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t="s">
        <v>767</v>
      </c>
      <c r="P3" s="14" t="s">
        <v>832</v>
      </c>
    </row>
    <row r="4" spans="2:18" x14ac:dyDescent="0.25">
      <c r="B4" s="17">
        <v>1</v>
      </c>
      <c r="C4" s="17" t="s">
        <v>810</v>
      </c>
      <c r="D4" s="25" t="s">
        <v>796</v>
      </c>
      <c r="E4" s="24"/>
      <c r="F4" s="24"/>
      <c r="G4" s="26"/>
      <c r="H4" s="26">
        <f t="shared" ref="H4:H48" si="0">G4*E4</f>
        <v>0</v>
      </c>
      <c r="I4" s="24" t="s">
        <v>818</v>
      </c>
      <c r="O4" s="14" t="s">
        <v>824</v>
      </c>
      <c r="P4" s="14" t="s">
        <v>826</v>
      </c>
      <c r="Q4" s="14" t="s">
        <v>827</v>
      </c>
      <c r="R4" s="14" t="s">
        <v>828</v>
      </c>
    </row>
    <row r="5" spans="2:18" x14ac:dyDescent="0.25">
      <c r="B5" s="17">
        <v>2</v>
      </c>
      <c r="C5" s="17" t="s">
        <v>810</v>
      </c>
      <c r="D5" s="21" t="s">
        <v>778</v>
      </c>
      <c r="E5" s="22"/>
      <c r="F5" s="22"/>
      <c r="G5" s="19"/>
      <c r="H5" s="19">
        <f t="shared" si="0"/>
        <v>0</v>
      </c>
      <c r="I5" s="22" t="s">
        <v>785</v>
      </c>
      <c r="N5" s="37" t="s">
        <v>772</v>
      </c>
      <c r="O5" s="40">
        <f>SUMIF(Tabela24[Aplicação],"Pré Moldado",Tabela24[Preço Total])</f>
        <v>968004</v>
      </c>
      <c r="P5" s="44">
        <f t="shared" ref="P5:P17" si="1">O5/$O$21</f>
        <v>0.33062288469044115</v>
      </c>
      <c r="Q5" s="46">
        <f>P5</f>
        <v>0.33062288469044115</v>
      </c>
      <c r="R5" t="s">
        <v>829</v>
      </c>
    </row>
    <row r="6" spans="2:18" x14ac:dyDescent="0.25">
      <c r="B6" s="17">
        <v>3</v>
      </c>
      <c r="C6" s="17" t="s">
        <v>810</v>
      </c>
      <c r="D6" s="21" t="s">
        <v>780</v>
      </c>
      <c r="E6" s="22"/>
      <c r="F6" s="22"/>
      <c r="G6" s="19"/>
      <c r="H6" s="19">
        <f t="shared" si="0"/>
        <v>0</v>
      </c>
      <c r="I6" s="22" t="s">
        <v>449</v>
      </c>
      <c r="N6" s="45" t="s">
        <v>786</v>
      </c>
      <c r="O6" s="40">
        <f>SUMIF(Tabela24[Aplicação],"Terraplanagem",Tabela24[Preço Total])</f>
        <v>791792.51</v>
      </c>
      <c r="P6" s="44">
        <f t="shared" si="1"/>
        <v>0.27043764667551473</v>
      </c>
      <c r="Q6" s="46">
        <f>P6+Q5</f>
        <v>0.60106053136595583</v>
      </c>
      <c r="R6" t="s">
        <v>829</v>
      </c>
    </row>
    <row r="7" spans="2:18" x14ac:dyDescent="0.25">
      <c r="B7" s="17">
        <v>4</v>
      </c>
      <c r="C7" s="17" t="s">
        <v>810</v>
      </c>
      <c r="D7" s="21" t="s">
        <v>839</v>
      </c>
      <c r="E7" s="22"/>
      <c r="F7" s="22"/>
      <c r="G7" s="19"/>
      <c r="H7" s="19">
        <f t="shared" si="0"/>
        <v>0</v>
      </c>
      <c r="I7" s="22" t="s">
        <v>449</v>
      </c>
      <c r="N7" s="37" t="s">
        <v>635</v>
      </c>
      <c r="O7" s="40">
        <f>SUMIF(Tabela24[Aplicação],"Piso",Tabela24[Preço Total])</f>
        <v>645545.6</v>
      </c>
      <c r="P7" s="44">
        <f t="shared" si="1"/>
        <v>0.22048684558247864</v>
      </c>
    </row>
    <row r="8" spans="2:18" x14ac:dyDescent="0.25">
      <c r="B8" s="17">
        <v>5</v>
      </c>
      <c r="C8" s="17" t="s">
        <v>810</v>
      </c>
      <c r="D8" s="25" t="s">
        <v>792</v>
      </c>
      <c r="E8" s="24">
        <v>26</v>
      </c>
      <c r="F8" s="24" t="s">
        <v>760</v>
      </c>
      <c r="G8" s="26"/>
      <c r="H8" s="26">
        <f t="shared" si="0"/>
        <v>0</v>
      </c>
      <c r="I8" s="24" t="s">
        <v>643</v>
      </c>
      <c r="J8" s="14" t="s">
        <v>815</v>
      </c>
      <c r="N8" s="45" t="s">
        <v>807</v>
      </c>
      <c r="O8" s="40">
        <f>SUMIF(Tabela24[Aplicação],"Serviço Prévio",Tabela24[Preço Total])</f>
        <v>358477</v>
      </c>
      <c r="P8" s="44">
        <f t="shared" si="1"/>
        <v>0.12243823355603414</v>
      </c>
    </row>
    <row r="9" spans="2:18" x14ac:dyDescent="0.25">
      <c r="B9" s="17">
        <v>6</v>
      </c>
      <c r="C9" s="17" t="s">
        <v>810</v>
      </c>
      <c r="D9" s="25" t="s">
        <v>793</v>
      </c>
      <c r="E9" s="24">
        <v>500</v>
      </c>
      <c r="F9" s="24" t="s">
        <v>761</v>
      </c>
      <c r="G9" s="26"/>
      <c r="H9" s="26">
        <f t="shared" si="0"/>
        <v>0</v>
      </c>
      <c r="I9" s="24" t="s">
        <v>643</v>
      </c>
      <c r="J9" s="14" t="s">
        <v>813</v>
      </c>
      <c r="N9" s="42" t="s">
        <v>771</v>
      </c>
      <c r="O9" s="40">
        <f>SUMIF(Tabela24[Aplicação],"Fundação",Tabela24[Preço Total])</f>
        <v>164000</v>
      </c>
      <c r="P9" s="44">
        <f t="shared" si="1"/>
        <v>5.6014389495531371E-2</v>
      </c>
    </row>
    <row r="10" spans="2:18" x14ac:dyDescent="0.25">
      <c r="B10" s="17">
        <v>7</v>
      </c>
      <c r="C10" s="17" t="s">
        <v>810</v>
      </c>
      <c r="D10" s="25" t="s">
        <v>817</v>
      </c>
      <c r="E10" s="24"/>
      <c r="F10" s="24"/>
      <c r="G10" s="26"/>
      <c r="H10" s="26">
        <f t="shared" si="0"/>
        <v>0</v>
      </c>
      <c r="I10" s="24" t="s">
        <v>643</v>
      </c>
      <c r="N10" s="42" t="s">
        <v>776</v>
      </c>
      <c r="O10" s="40">
        <f>SUMIF(Tabela24[Aplicação],"Fechamento Lateral",Tabela24[Preço Total])</f>
        <v>0</v>
      </c>
      <c r="P10" s="44">
        <f t="shared" si="1"/>
        <v>0</v>
      </c>
    </row>
    <row r="11" spans="2:18" x14ac:dyDescent="0.25">
      <c r="B11" s="17">
        <v>8</v>
      </c>
      <c r="C11" s="17" t="s">
        <v>810</v>
      </c>
      <c r="D11" s="21" t="s">
        <v>836</v>
      </c>
      <c r="E11" s="22">
        <v>54</v>
      </c>
      <c r="F11" s="22" t="s">
        <v>760</v>
      </c>
      <c r="G11" s="19"/>
      <c r="H11" s="19">
        <f t="shared" si="0"/>
        <v>0</v>
      </c>
      <c r="I11" s="22" t="s">
        <v>837</v>
      </c>
      <c r="N11" s="41" t="s">
        <v>785</v>
      </c>
      <c r="O11" s="40">
        <f>SUMIF(Tabela24[Aplicação],"AVCB",Tabela24[Preço Total])</f>
        <v>0</v>
      </c>
      <c r="P11" s="44">
        <f t="shared" si="1"/>
        <v>0</v>
      </c>
    </row>
    <row r="12" spans="2:18" x14ac:dyDescent="0.25">
      <c r="B12" s="17">
        <v>9</v>
      </c>
      <c r="C12" s="17" t="s">
        <v>810</v>
      </c>
      <c r="D12" s="21" t="s">
        <v>838</v>
      </c>
      <c r="E12" s="22">
        <v>30</v>
      </c>
      <c r="F12" s="22" t="s">
        <v>760</v>
      </c>
      <c r="G12" s="19"/>
      <c r="H12" s="19">
        <f t="shared" si="0"/>
        <v>0</v>
      </c>
      <c r="I12" s="22" t="s">
        <v>837</v>
      </c>
      <c r="N12" s="41" t="s">
        <v>449</v>
      </c>
      <c r="O12" s="40">
        <f>SUMIF(Tabela24[Aplicação],"Drenagem",Tabela24[Preço Total])</f>
        <v>0</v>
      </c>
      <c r="P12" s="44">
        <f t="shared" si="1"/>
        <v>0</v>
      </c>
    </row>
    <row r="13" spans="2:18" x14ac:dyDescent="0.25">
      <c r="B13" s="17">
        <v>10</v>
      </c>
      <c r="C13" s="17" t="s">
        <v>810</v>
      </c>
      <c r="D13" s="21" t="s">
        <v>835</v>
      </c>
      <c r="E13" s="24">
        <v>390</v>
      </c>
      <c r="F13" s="22" t="s">
        <v>761</v>
      </c>
      <c r="G13" s="19"/>
      <c r="H13" s="19">
        <f t="shared" si="0"/>
        <v>0</v>
      </c>
      <c r="I13" s="22" t="s">
        <v>837</v>
      </c>
      <c r="N13" s="41"/>
      <c r="O13" s="40"/>
      <c r="P13" s="44"/>
    </row>
    <row r="14" spans="2:18" x14ac:dyDescent="0.25">
      <c r="B14" s="17">
        <v>11</v>
      </c>
      <c r="C14" s="17" t="s">
        <v>810</v>
      </c>
      <c r="D14" s="21" t="s">
        <v>836</v>
      </c>
      <c r="E14" s="47">
        <f>(84*1.02)*2*1.02</f>
        <v>174.78720000000001</v>
      </c>
      <c r="F14" s="22" t="s">
        <v>760</v>
      </c>
      <c r="G14" s="19"/>
      <c r="H14" s="19">
        <f t="shared" si="0"/>
        <v>0</v>
      </c>
      <c r="I14" s="22" t="s">
        <v>776</v>
      </c>
      <c r="N14" s="41" t="s">
        <v>776</v>
      </c>
      <c r="O14" s="40">
        <f>SUMIF(Tabela24[Aplicação],"Fechamento Lateral",Tabela24[Preço Total])</f>
        <v>0</v>
      </c>
      <c r="P14" s="44">
        <f t="shared" si="1"/>
        <v>0</v>
      </c>
    </row>
    <row r="15" spans="2:18" x14ac:dyDescent="0.25">
      <c r="B15" s="17">
        <v>12</v>
      </c>
      <c r="C15" s="17" t="s">
        <v>810</v>
      </c>
      <c r="D15" s="21" t="s">
        <v>835</v>
      </c>
      <c r="E15" s="22">
        <f>84*7</f>
        <v>588</v>
      </c>
      <c r="F15" s="22" t="s">
        <v>761</v>
      </c>
      <c r="G15" s="19"/>
      <c r="H15" s="19">
        <f t="shared" si="0"/>
        <v>0</v>
      </c>
      <c r="I15" s="22" t="s">
        <v>776</v>
      </c>
      <c r="N15" s="41" t="s">
        <v>643</v>
      </c>
      <c r="O15" s="40">
        <f>SUMIF(Tabela24[Aplicação],"Elétrica",Tabela24[Preço Total])</f>
        <v>0</v>
      </c>
      <c r="P15" s="44">
        <f t="shared" si="1"/>
        <v>0</v>
      </c>
    </row>
    <row r="16" spans="2:18" x14ac:dyDescent="0.25">
      <c r="B16" s="17">
        <v>13</v>
      </c>
      <c r="C16" s="17" t="s">
        <v>810</v>
      </c>
      <c r="D16" s="25" t="s">
        <v>782</v>
      </c>
      <c r="E16" s="24"/>
      <c r="F16" s="24" t="s">
        <v>761</v>
      </c>
      <c r="G16" s="26"/>
      <c r="H16" s="26">
        <f t="shared" si="0"/>
        <v>0</v>
      </c>
      <c r="I16" s="24" t="s">
        <v>776</v>
      </c>
      <c r="N16" s="41" t="s">
        <v>576</v>
      </c>
      <c r="O16" s="40">
        <f>SUMIF(Tabela24[Aplicação],"Pintura",Tabela24[Preço Total])</f>
        <v>0</v>
      </c>
      <c r="P16" s="44">
        <f t="shared" si="1"/>
        <v>0</v>
      </c>
    </row>
    <row r="17" spans="2:16" x14ac:dyDescent="0.25">
      <c r="B17" s="17">
        <v>14</v>
      </c>
      <c r="C17" s="17" t="s">
        <v>810</v>
      </c>
      <c r="D17" s="25" t="s">
        <v>783</v>
      </c>
      <c r="E17" s="24"/>
      <c r="F17" s="24"/>
      <c r="G17" s="26"/>
      <c r="H17" s="26">
        <f t="shared" si="0"/>
        <v>0</v>
      </c>
      <c r="I17" s="24" t="s">
        <v>776</v>
      </c>
      <c r="N17" s="41" t="s">
        <v>818</v>
      </c>
      <c r="O17" s="40">
        <f>SUMIF(Tabela24[Aplicação],"Armazenamento",Tabela24[Preço Total])</f>
        <v>0</v>
      </c>
      <c r="P17" s="44">
        <f t="shared" si="1"/>
        <v>0</v>
      </c>
    </row>
    <row r="18" spans="2:16" x14ac:dyDescent="0.25">
      <c r="B18" s="17">
        <v>15</v>
      </c>
      <c r="C18" s="17" t="s">
        <v>810</v>
      </c>
      <c r="D18" s="25" t="s">
        <v>784</v>
      </c>
      <c r="E18" s="24"/>
      <c r="F18" s="24"/>
      <c r="G18" s="26"/>
      <c r="H18" s="26">
        <f t="shared" si="0"/>
        <v>0</v>
      </c>
      <c r="I18" s="24" t="s">
        <v>776</v>
      </c>
      <c r="N18" s="41"/>
      <c r="O18" s="40"/>
      <c r="P18" s="44"/>
    </row>
    <row r="19" spans="2:16" x14ac:dyDescent="0.25">
      <c r="B19" s="17">
        <v>16</v>
      </c>
      <c r="C19" s="17" t="s">
        <v>810</v>
      </c>
      <c r="D19" s="25" t="s">
        <v>822</v>
      </c>
      <c r="E19" s="24">
        <v>1</v>
      </c>
      <c r="F19" s="24"/>
      <c r="G19" s="26"/>
      <c r="H19" s="26">
        <f t="shared" si="0"/>
        <v>0</v>
      </c>
      <c r="I19" s="24" t="s">
        <v>776</v>
      </c>
      <c r="N19" s="41"/>
      <c r="O19" s="40"/>
      <c r="P19" s="44"/>
    </row>
    <row r="20" spans="2:16" x14ac:dyDescent="0.25">
      <c r="B20" s="17">
        <v>17</v>
      </c>
      <c r="C20" s="17" t="s">
        <v>810</v>
      </c>
      <c r="D20" s="18" t="s">
        <v>797</v>
      </c>
      <c r="E20" s="17"/>
      <c r="F20" s="17"/>
      <c r="G20" s="20"/>
      <c r="H20" s="20">
        <f t="shared" si="0"/>
        <v>0</v>
      </c>
      <c r="I20" s="17" t="s">
        <v>771</v>
      </c>
    </row>
    <row r="21" spans="2:16" x14ac:dyDescent="0.25">
      <c r="B21" s="17">
        <v>18</v>
      </c>
      <c r="C21" s="17" t="s">
        <v>810</v>
      </c>
      <c r="D21" s="18" t="s">
        <v>769</v>
      </c>
      <c r="E21" s="17"/>
      <c r="F21" s="17"/>
      <c r="G21" s="20"/>
      <c r="H21" s="20">
        <f t="shared" si="0"/>
        <v>0</v>
      </c>
      <c r="I21" s="17" t="s">
        <v>771</v>
      </c>
      <c r="N21" s="41" t="s">
        <v>825</v>
      </c>
      <c r="O21" s="43">
        <f>SUM(O5:O17)</f>
        <v>2927819.11</v>
      </c>
    </row>
    <row r="22" spans="2:16" x14ac:dyDescent="0.25">
      <c r="B22" s="17">
        <v>19</v>
      </c>
      <c r="C22" s="17" t="s">
        <v>810</v>
      </c>
      <c r="D22" s="18" t="s">
        <v>770</v>
      </c>
      <c r="E22" s="17"/>
      <c r="F22" s="17"/>
      <c r="G22" s="20"/>
      <c r="H22" s="20">
        <f t="shared" si="0"/>
        <v>0</v>
      </c>
      <c r="I22" s="17" t="s">
        <v>771</v>
      </c>
      <c r="N22" s="41"/>
      <c r="O22" s="43"/>
    </row>
    <row r="23" spans="2:16" x14ac:dyDescent="0.25">
      <c r="B23" s="17">
        <v>20</v>
      </c>
      <c r="C23" s="17" t="s">
        <v>810</v>
      </c>
      <c r="D23" s="18" t="s">
        <v>834</v>
      </c>
      <c r="E23" s="17">
        <v>1</v>
      </c>
      <c r="F23" s="17" t="s">
        <v>760</v>
      </c>
      <c r="G23" s="20">
        <v>164000</v>
      </c>
      <c r="H23" s="20">
        <f t="shared" si="0"/>
        <v>164000</v>
      </c>
      <c r="I23" s="17" t="s">
        <v>771</v>
      </c>
    </row>
    <row r="24" spans="2:16" x14ac:dyDescent="0.25">
      <c r="B24" s="17">
        <v>21</v>
      </c>
      <c r="C24" s="17" t="s">
        <v>810</v>
      </c>
      <c r="D24" s="18" t="s">
        <v>774</v>
      </c>
      <c r="E24" s="17"/>
      <c r="F24" s="17"/>
      <c r="G24" s="20"/>
      <c r="H24" s="20">
        <f t="shared" si="0"/>
        <v>0</v>
      </c>
      <c r="I24" s="17" t="s">
        <v>771</v>
      </c>
    </row>
    <row r="25" spans="2:16" x14ac:dyDescent="0.25">
      <c r="B25" s="17">
        <v>22</v>
      </c>
      <c r="C25" s="17" t="s">
        <v>810</v>
      </c>
      <c r="D25" s="18" t="s">
        <v>775</v>
      </c>
      <c r="E25" s="17"/>
      <c r="F25" s="17"/>
      <c r="G25" s="20"/>
      <c r="H25" s="20">
        <f t="shared" si="0"/>
        <v>0</v>
      </c>
      <c r="I25" s="17" t="s">
        <v>771</v>
      </c>
    </row>
    <row r="26" spans="2:16" x14ac:dyDescent="0.25">
      <c r="B26" s="17">
        <v>23</v>
      </c>
      <c r="C26" s="17" t="s">
        <v>810</v>
      </c>
      <c r="D26" s="21" t="s">
        <v>779</v>
      </c>
      <c r="E26" s="22"/>
      <c r="F26" s="22"/>
      <c r="G26" s="19"/>
      <c r="H26" s="19">
        <f t="shared" si="0"/>
        <v>0</v>
      </c>
      <c r="I26" s="22" t="s">
        <v>771</v>
      </c>
    </row>
    <row r="27" spans="2:16" x14ac:dyDescent="0.25">
      <c r="B27" s="17">
        <v>24</v>
      </c>
      <c r="C27" s="17" t="s">
        <v>810</v>
      </c>
      <c r="D27" s="25" t="s">
        <v>788</v>
      </c>
      <c r="E27" s="24"/>
      <c r="F27" s="24"/>
      <c r="G27" s="26"/>
      <c r="H27" s="26">
        <f t="shared" si="0"/>
        <v>0</v>
      </c>
      <c r="I27" s="24" t="s">
        <v>576</v>
      </c>
    </row>
    <row r="28" spans="2:16" x14ac:dyDescent="0.25">
      <c r="B28" s="17">
        <v>25</v>
      </c>
      <c r="C28" s="17" t="s">
        <v>810</v>
      </c>
      <c r="D28" s="25" t="s">
        <v>789</v>
      </c>
      <c r="E28" s="24"/>
      <c r="F28" s="24"/>
      <c r="G28" s="26"/>
      <c r="H28" s="26">
        <f t="shared" si="0"/>
        <v>0</v>
      </c>
      <c r="I28" s="24" t="s">
        <v>576</v>
      </c>
    </row>
    <row r="29" spans="2:16" x14ac:dyDescent="0.25">
      <c r="B29" s="17">
        <v>26</v>
      </c>
      <c r="C29" s="17" t="s">
        <v>810</v>
      </c>
      <c r="D29" s="25" t="s">
        <v>790</v>
      </c>
      <c r="E29" s="24"/>
      <c r="F29" s="24"/>
      <c r="G29" s="26"/>
      <c r="H29" s="26">
        <f t="shared" si="0"/>
        <v>0</v>
      </c>
      <c r="I29" s="24" t="s">
        <v>576</v>
      </c>
    </row>
    <row r="30" spans="2:16" x14ac:dyDescent="0.25">
      <c r="B30" s="17">
        <v>27</v>
      </c>
      <c r="C30" s="17" t="s">
        <v>810</v>
      </c>
      <c r="D30" s="25" t="s">
        <v>791</v>
      </c>
      <c r="E30" s="24"/>
      <c r="F30" s="24"/>
      <c r="G30" s="26"/>
      <c r="H30" s="26">
        <f t="shared" si="0"/>
        <v>0</v>
      </c>
      <c r="I30" s="24" t="s">
        <v>576</v>
      </c>
    </row>
    <row r="31" spans="2:16" x14ac:dyDescent="0.25">
      <c r="B31" s="17">
        <v>28</v>
      </c>
      <c r="C31" s="17" t="s">
        <v>810</v>
      </c>
      <c r="D31" s="18" t="s">
        <v>757</v>
      </c>
      <c r="E31" s="23">
        <f>(2150*1.05)*0.15</f>
        <v>338.625</v>
      </c>
      <c r="F31" s="17" t="s">
        <v>759</v>
      </c>
      <c r="G31" s="20">
        <v>670</v>
      </c>
      <c r="H31" s="20">
        <f t="shared" si="0"/>
        <v>226878.75</v>
      </c>
      <c r="I31" s="17" t="s">
        <v>635</v>
      </c>
    </row>
    <row r="32" spans="2:16" x14ac:dyDescent="0.25">
      <c r="B32" s="17">
        <v>29</v>
      </c>
      <c r="C32" s="17" t="s">
        <v>810</v>
      </c>
      <c r="D32" s="18" t="s">
        <v>777</v>
      </c>
      <c r="E32" s="23">
        <f>(2150/13)*2</f>
        <v>330.76923076923077</v>
      </c>
      <c r="F32" s="17" t="s">
        <v>760</v>
      </c>
      <c r="G32" s="20">
        <v>220.5</v>
      </c>
      <c r="H32" s="20">
        <f t="shared" si="0"/>
        <v>72934.61538461539</v>
      </c>
      <c r="I32" s="17" t="s">
        <v>635</v>
      </c>
    </row>
    <row r="33" spans="2:9" x14ac:dyDescent="0.25">
      <c r="B33" s="17">
        <v>30</v>
      </c>
      <c r="C33" s="17" t="s">
        <v>810</v>
      </c>
      <c r="D33" s="18" t="s">
        <v>758</v>
      </c>
      <c r="E33" s="17">
        <f>2100/12</f>
        <v>175</v>
      </c>
      <c r="F33" s="17" t="s">
        <v>761</v>
      </c>
      <c r="G33" s="20">
        <v>56.2</v>
      </c>
      <c r="H33" s="20">
        <f t="shared" si="0"/>
        <v>9835</v>
      </c>
      <c r="I33" s="17" t="s">
        <v>635</v>
      </c>
    </row>
    <row r="34" spans="2:9" x14ac:dyDescent="0.25">
      <c r="B34" s="17">
        <v>31</v>
      </c>
      <c r="C34" s="17" t="s">
        <v>810</v>
      </c>
      <c r="D34" s="18" t="s">
        <v>762</v>
      </c>
      <c r="E34" s="17">
        <v>1000</v>
      </c>
      <c r="F34" s="17" t="s">
        <v>763</v>
      </c>
      <c r="G34" s="20">
        <v>7.3</v>
      </c>
      <c r="H34" s="20">
        <f t="shared" si="0"/>
        <v>7300</v>
      </c>
      <c r="I34" s="17" t="s">
        <v>635</v>
      </c>
    </row>
    <row r="35" spans="2:9" x14ac:dyDescent="0.25">
      <c r="B35" s="17">
        <v>32</v>
      </c>
      <c r="C35" s="17" t="s">
        <v>810</v>
      </c>
      <c r="D35" s="18" t="s">
        <v>816</v>
      </c>
      <c r="E35" s="23">
        <f>E31</f>
        <v>338.625</v>
      </c>
      <c r="F35" s="17" t="s">
        <v>766</v>
      </c>
      <c r="G35" s="20">
        <v>50</v>
      </c>
      <c r="H35" s="20">
        <f t="shared" si="0"/>
        <v>16931.25</v>
      </c>
      <c r="I35" s="17" t="s">
        <v>635</v>
      </c>
    </row>
    <row r="36" spans="2:9" x14ac:dyDescent="0.25">
      <c r="B36" s="17">
        <v>33</v>
      </c>
      <c r="C36" s="17" t="s">
        <v>810</v>
      </c>
      <c r="D36" s="18" t="s">
        <v>768</v>
      </c>
      <c r="E36" s="17">
        <v>1</v>
      </c>
      <c r="F36" s="17" t="s">
        <v>760</v>
      </c>
      <c r="G36" s="20">
        <v>49800</v>
      </c>
      <c r="H36" s="20">
        <f t="shared" si="0"/>
        <v>49800</v>
      </c>
      <c r="I36" s="17" t="s">
        <v>635</v>
      </c>
    </row>
    <row r="37" spans="2:9" x14ac:dyDescent="0.25">
      <c r="B37" s="17">
        <v>34</v>
      </c>
      <c r="C37" s="34" t="s">
        <v>811</v>
      </c>
      <c r="D37" s="25" t="s">
        <v>821</v>
      </c>
      <c r="E37" s="24">
        <v>110</v>
      </c>
      <c r="F37" s="24" t="s">
        <v>760</v>
      </c>
      <c r="G37" s="26"/>
      <c r="H37" s="26">
        <f t="shared" si="0"/>
        <v>0</v>
      </c>
      <c r="I37" s="24" t="s">
        <v>635</v>
      </c>
    </row>
    <row r="38" spans="2:9" x14ac:dyDescent="0.25">
      <c r="B38" s="17">
        <v>35</v>
      </c>
      <c r="C38" s="34" t="s">
        <v>811</v>
      </c>
      <c r="D38" s="25" t="s">
        <v>757</v>
      </c>
      <c r="E38" s="35">
        <f>(1784*0.15)*1.05</f>
        <v>280.97999999999996</v>
      </c>
      <c r="F38" s="24" t="s">
        <v>759</v>
      </c>
      <c r="G38" s="26">
        <v>670</v>
      </c>
      <c r="H38" s="26">
        <f t="shared" si="0"/>
        <v>188256.59999999998</v>
      </c>
      <c r="I38" s="24" t="s">
        <v>635</v>
      </c>
    </row>
    <row r="39" spans="2:9" x14ac:dyDescent="0.25">
      <c r="B39" s="17">
        <v>36</v>
      </c>
      <c r="C39" s="34" t="s">
        <v>811</v>
      </c>
      <c r="D39" s="18" t="s">
        <v>777</v>
      </c>
      <c r="E39" s="35">
        <f>1784/13</f>
        <v>137.23076923076923</v>
      </c>
      <c r="F39" s="24" t="s">
        <v>760</v>
      </c>
      <c r="G39" s="26">
        <v>220.5</v>
      </c>
      <c r="H39" s="26">
        <f t="shared" si="0"/>
        <v>30259.384615384613</v>
      </c>
      <c r="I39" s="24" t="s">
        <v>635</v>
      </c>
    </row>
    <row r="40" spans="2:9" x14ac:dyDescent="0.25">
      <c r="B40" s="17">
        <v>37</v>
      </c>
      <c r="C40" s="34" t="s">
        <v>811</v>
      </c>
      <c r="D40" s="25" t="s">
        <v>820</v>
      </c>
      <c r="E40" s="24">
        <v>1</v>
      </c>
      <c r="F40" s="24" t="s">
        <v>760</v>
      </c>
      <c r="G40" s="26">
        <v>43350</v>
      </c>
      <c r="H40" s="26">
        <f t="shared" si="0"/>
        <v>43350</v>
      </c>
      <c r="I40" s="24" t="s">
        <v>635</v>
      </c>
    </row>
    <row r="41" spans="2:9" x14ac:dyDescent="0.25">
      <c r="B41" s="17">
        <v>38</v>
      </c>
      <c r="C41" s="17" t="s">
        <v>810</v>
      </c>
      <c r="D41" s="18" t="s">
        <v>773</v>
      </c>
      <c r="E41" s="17">
        <v>1</v>
      </c>
      <c r="F41" s="17" t="s">
        <v>760</v>
      </c>
      <c r="G41" s="20">
        <v>968004</v>
      </c>
      <c r="H41" s="20">
        <f t="shared" si="0"/>
        <v>968004</v>
      </c>
      <c r="I41" s="17" t="s">
        <v>772</v>
      </c>
    </row>
    <row r="42" spans="2:9" x14ac:dyDescent="0.25">
      <c r="B42" s="17">
        <v>39</v>
      </c>
      <c r="C42" s="17" t="s">
        <v>810</v>
      </c>
      <c r="D42" s="21" t="s">
        <v>795</v>
      </c>
      <c r="E42" s="22"/>
      <c r="F42" s="22"/>
      <c r="G42" s="19"/>
      <c r="H42" s="19">
        <f t="shared" si="0"/>
        <v>0</v>
      </c>
      <c r="I42" s="17" t="s">
        <v>772</v>
      </c>
    </row>
    <row r="43" spans="2:9" x14ac:dyDescent="0.25">
      <c r="B43" s="17">
        <v>40</v>
      </c>
      <c r="C43" s="17" t="s">
        <v>811</v>
      </c>
      <c r="D43" s="25" t="s">
        <v>805</v>
      </c>
      <c r="E43" s="24">
        <v>1</v>
      </c>
      <c r="F43" s="24" t="s">
        <v>760</v>
      </c>
      <c r="G43" s="26">
        <v>46600</v>
      </c>
      <c r="H43" s="26">
        <f t="shared" si="0"/>
        <v>46600</v>
      </c>
      <c r="I43" s="24" t="s">
        <v>807</v>
      </c>
    </row>
    <row r="44" spans="2:9" x14ac:dyDescent="0.25">
      <c r="B44" s="17">
        <v>41</v>
      </c>
      <c r="C44" s="17" t="s">
        <v>811</v>
      </c>
      <c r="D44" s="25" t="s">
        <v>808</v>
      </c>
      <c r="E44" s="24">
        <v>1</v>
      </c>
      <c r="F44" s="24" t="s">
        <v>760</v>
      </c>
      <c r="G44" s="26">
        <v>8100</v>
      </c>
      <c r="H44" s="26">
        <f t="shared" si="0"/>
        <v>8100</v>
      </c>
      <c r="I44" s="24" t="s">
        <v>807</v>
      </c>
    </row>
    <row r="45" spans="2:9" x14ac:dyDescent="0.25">
      <c r="B45" s="17">
        <v>42</v>
      </c>
      <c r="C45" s="17" t="s">
        <v>811</v>
      </c>
      <c r="D45" s="25" t="s">
        <v>823</v>
      </c>
      <c r="E45" s="24">
        <v>1</v>
      </c>
      <c r="F45" s="24" t="s">
        <v>760</v>
      </c>
      <c r="G45" s="26">
        <v>5000</v>
      </c>
      <c r="H45" s="26">
        <f t="shared" si="0"/>
        <v>5000</v>
      </c>
      <c r="I45" s="24" t="s">
        <v>807</v>
      </c>
    </row>
    <row r="46" spans="2:9" x14ac:dyDescent="0.25">
      <c r="B46" s="17">
        <v>43</v>
      </c>
      <c r="C46" s="17" t="s">
        <v>811</v>
      </c>
      <c r="D46" s="25" t="s">
        <v>812</v>
      </c>
      <c r="E46" s="24">
        <v>1</v>
      </c>
      <c r="F46" s="24" t="s">
        <v>760</v>
      </c>
      <c r="G46" s="26">
        <v>298777</v>
      </c>
      <c r="H46" s="26">
        <f t="shared" si="0"/>
        <v>298777</v>
      </c>
      <c r="I46" s="24" t="s">
        <v>807</v>
      </c>
    </row>
    <row r="47" spans="2:9" x14ac:dyDescent="0.25">
      <c r="B47" s="17">
        <v>44</v>
      </c>
      <c r="C47" s="17" t="s">
        <v>810</v>
      </c>
      <c r="D47" s="21" t="s">
        <v>794</v>
      </c>
      <c r="E47" s="22"/>
      <c r="F47" s="22"/>
      <c r="G47" s="19"/>
      <c r="H47" s="19">
        <f t="shared" si="0"/>
        <v>0</v>
      </c>
      <c r="I47" s="22" t="s">
        <v>419</v>
      </c>
    </row>
    <row r="48" spans="2:9" x14ac:dyDescent="0.25">
      <c r="B48" s="17">
        <v>45</v>
      </c>
      <c r="C48" s="17" t="s">
        <v>810</v>
      </c>
      <c r="D48" s="21" t="s">
        <v>787</v>
      </c>
      <c r="E48" s="22">
        <v>1</v>
      </c>
      <c r="F48" s="22" t="s">
        <v>760</v>
      </c>
      <c r="G48" s="19">
        <v>791792.51</v>
      </c>
      <c r="H48" s="19">
        <f t="shared" si="0"/>
        <v>791792.51</v>
      </c>
      <c r="I48" s="22" t="s">
        <v>786</v>
      </c>
    </row>
    <row r="49" spans="2:9" x14ac:dyDescent="0.25">
      <c r="B49" s="24"/>
      <c r="C49" s="34"/>
      <c r="D49" s="25"/>
      <c r="E49" s="24"/>
      <c r="F49" s="24"/>
      <c r="G49" s="26"/>
      <c r="H49" s="26"/>
      <c r="I49" s="25"/>
    </row>
    <row r="50" spans="2:9" x14ac:dyDescent="0.25">
      <c r="B50" s="24"/>
      <c r="C50" s="34"/>
      <c r="D50" s="39"/>
      <c r="E50" s="24"/>
      <c r="F50" s="24"/>
      <c r="G50" s="26"/>
      <c r="H50" s="26"/>
      <c r="I50" s="25"/>
    </row>
    <row r="51" spans="2:9" x14ac:dyDescent="0.25">
      <c r="D51" s="38"/>
      <c r="H51" s="16">
        <f>SUM(Tabela24[Preço Total])</f>
        <v>2927819.1100000003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2026-10-09T12:15:22Z</dcterms:modified>
</cp:coreProperties>
</file>