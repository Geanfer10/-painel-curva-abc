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2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48" i="6" l="1"/>
  <c r="H49" i="6"/>
  <c r="H47" i="6"/>
  <c r="E45" i="6"/>
  <c r="E44" i="6"/>
  <c r="H64" i="6"/>
  <c r="H63" i="6"/>
  <c r="H29" i="6"/>
  <c r="H62" i="6"/>
  <c r="H61" i="6"/>
  <c r="H9" i="6"/>
  <c r="H43" i="6"/>
  <c r="H65" i="6"/>
  <c r="H8" i="6"/>
  <c r="H19" i="6"/>
  <c r="H18" i="6"/>
  <c r="G5" i="3"/>
  <c r="H6" i="6"/>
  <c r="H7" i="6"/>
  <c r="F4" i="3"/>
  <c r="H58" i="6"/>
  <c r="G44" i="3"/>
  <c r="G46" i="3"/>
  <c r="G24" i="3"/>
  <c r="G22" i="3"/>
  <c r="H15" i="6" l="1"/>
  <c r="E17" i="6"/>
  <c r="H14" i="6"/>
  <c r="E16" i="6"/>
  <c r="H13" i="6"/>
  <c r="H27" i="6" l="1"/>
  <c r="H39" i="6" l="1"/>
  <c r="H41" i="6"/>
  <c r="H24" i="6"/>
  <c r="H25" i="6"/>
  <c r="H26" i="6"/>
  <c r="H52" i="6"/>
  <c r="H28" i="6"/>
  <c r="H30" i="6"/>
  <c r="H16" i="6"/>
  <c r="H59" i="6"/>
  <c r="H17" i="6"/>
  <c r="H5" i="6"/>
  <c r="O11" i="6" s="1"/>
  <c r="H57" i="6"/>
  <c r="H60" i="6"/>
  <c r="O6" i="6" s="1"/>
  <c r="H31" i="6"/>
  <c r="H50" i="6"/>
  <c r="O12" i="6" s="1"/>
  <c r="H51" i="6"/>
  <c r="H20" i="6"/>
  <c r="H21" i="6"/>
  <c r="H22" i="6"/>
  <c r="H23" i="6"/>
  <c r="H10" i="6"/>
  <c r="H11" i="6"/>
  <c r="H12" i="6"/>
  <c r="H32" i="6"/>
  <c r="H33" i="6"/>
  <c r="H34" i="6"/>
  <c r="H35" i="6"/>
  <c r="H4" i="6"/>
  <c r="O20" i="6" s="1"/>
  <c r="H53" i="6"/>
  <c r="H54" i="6"/>
  <c r="H55" i="6"/>
  <c r="H56" i="6"/>
  <c r="H42" i="6"/>
  <c r="H46" i="6"/>
  <c r="J14" i="3"/>
  <c r="O15" i="6" l="1"/>
  <c r="O8" i="6"/>
  <c r="O5" i="6"/>
  <c r="O19" i="6"/>
  <c r="O9" i="6"/>
  <c r="O14" i="6"/>
  <c r="O10" i="6"/>
  <c r="G37" i="3"/>
  <c r="E36" i="6"/>
  <c r="H36" i="6" s="1"/>
  <c r="E37" i="6"/>
  <c r="H37" i="6" s="1"/>
  <c r="E40" i="6"/>
  <c r="H40" i="6" s="1"/>
  <c r="E38" i="6"/>
  <c r="H38" i="6" s="1"/>
  <c r="H45" i="6"/>
  <c r="H44" i="6"/>
  <c r="G36" i="3"/>
  <c r="J15" i="3" s="1"/>
  <c r="O7" i="6" l="1"/>
  <c r="O24" i="6" s="1"/>
  <c r="P11" i="6" s="1"/>
  <c r="G18" i="3"/>
  <c r="G40" i="3"/>
  <c r="G41" i="3"/>
  <c r="G42" i="3"/>
  <c r="G43" i="3"/>
  <c r="G39" i="3"/>
  <c r="P7" i="6" l="1"/>
  <c r="P10" i="6"/>
  <c r="P6" i="6"/>
  <c r="P19" i="6"/>
  <c r="P9" i="6"/>
  <c r="P15" i="6"/>
  <c r="P14" i="6"/>
  <c r="P8" i="6"/>
  <c r="P20" i="6"/>
  <c r="P12" i="6"/>
  <c r="P5" i="6"/>
  <c r="Q5" i="6" s="1"/>
  <c r="G19" i="3"/>
  <c r="D30" i="3"/>
  <c r="G11" i="3"/>
  <c r="Q6" i="6" l="1"/>
  <c r="H68" i="6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<sst xmlns="http://schemas.openxmlformats.org/spreadsheetml/2006/main" count="2162" uniqueCount="873">
  <si>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</si>
  <si>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</si>
  <si>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</si>
  <si>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</si>
  <si>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</si>
  <si>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</si>
  <si>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</si>
  <si>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</si>
  <si>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</si>
  <si>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</si>
  <si>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</si>
  <si>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</si>
  <si>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</si>
  <si>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</si>
  <si>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</si>
  <si>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</si>
  <si>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</si>
  <si>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</si>
  <si>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</si>
  <si>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</si>
  <si>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</si>
  <si>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</si>
  <si>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</si>
  <si>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</si>
  <si>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</si>
  <si>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</si>
  <si>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</si>
  <si>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</si>
  <si>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</si>
  <si>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</si>
  <si>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</si>
  <si>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</si>
  <si>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</si>
  <si>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</si>
  <si>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</si>
  <si>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</si>
  <si>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</si>
  <si>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</si>
  <si>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</si>
  <si>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</si>
  <si>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</si>
  <si>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</si>
  <si>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</si>
  <si>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</si>
  <si>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</si>
  <si>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</si>
  <si>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</si>
  <si>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</si>
  <si>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</si>
  <si>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</si>
  <si>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</si>
  <si>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</si>
  <si>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</si>
  <si>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</si>
  <si>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</si>
  <si>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</si>
  <si>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</si>
  <si>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</si>
  <si>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</si>
  <si>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</si>
  <si>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</si>
  <si>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</si>
  <si>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</si>
  <si>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</si>
  <si>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</si>
  <si>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</si>
  <si>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</si>
  <si>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</si>
  <si>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</si>
  <si>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</si>
  <si>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</si>
  <si>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</si>
  <si>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</si>
  <si>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</si>
  <si>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</si>
  <si>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</si>
  <si>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</si>
  <si>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</si>
  <si>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</si>
  <si>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</si>
  <si>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</si>
  <si>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</si>
  <si>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</si>
  <si>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</si>
  <si>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</si>
  <si>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</si>
  <si>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</si>
  <si>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</si>
  <si>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</si>
  <si>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</si>
  <si>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</si>
  <si>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</si>
  <si>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</si>
  <si>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</si>
  <si>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</si>
  <si>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</si>
  <si>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</si>
  <si>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</si>
  <si>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</si>
  <si>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</si>
  <si>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</si>
  <si>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</si>
  <si>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</si>
  <si>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</si>
  <si>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</si>
  <si>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</si>
  <si>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</si>
  <si>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</si>
  <si>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</si>
  <si>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</si>
  <si>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</si>
  <si>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</si>
  <si>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</si>
  <si>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</si>
  <si>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</si>
  <si>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</si>
  <si>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</si>
  <si>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</si>
  <si>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</si>
  <si>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</si>
  <si>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</si>
  <si>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</si>
  <si>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</si>
  <si>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</si>
  <si>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</si>
  <si>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</si>
  <si>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</si>
  <si>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</si>
  <si>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</si>
  <si>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</si>
  <si>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</si>
  <si>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</si>
  <si>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</si>
  <si>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</si>
  <si>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</si>
  <si>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</si>
  <si>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</si>
  <si>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</si>
  <si>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</si>
  <si>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</si>
  <si>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</si>
  <si>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</si>
  <si>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</si>
  <si>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</si>
  <si>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</si>
  <si>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</si>
  <si>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</si>
  <si>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</si>
  <si>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</si>
  <si>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</si>
  <si>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</si>
  <si>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</si>
  <si>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</si>
  <si>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</si>
  <si>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</si>
  <si>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</si>
  <si>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</si>
  <si>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</si>
  <si>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</si>
  <si>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</si>
  <si>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</si>
  <si>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</si>
  <si>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</si>
  <si>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</si>
  <si>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</si>
  <si>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</si>
  <si>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</si>
  <si>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</si>
  <si>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</si>
  <si>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</si>
  <si>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</si>
  <si>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</si>
  <si>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</si>
  <si>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</si>
  <si>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</si>
  <si>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</si>
  <si>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</si>
  <si>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</si>
  <si>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</si>
  <si>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</si>
  <si>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</si>
  <si>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</si>
  <si>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</si>
  <si>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</si>
  <si>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</si>
  <si>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</si>
  <si>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</si>
  <si>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</si>
  <si>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</si>
  <si>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</si>
  <si>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</si>
  <si>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</si>
  <si>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</si>
  <si>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</si>
  <si>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</si>
  <si>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</si>
  <si>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</si>
  <si>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</si>
  <si>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</si>
  <si>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</si>
  <si>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</si>
  <si>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</si>
  <si>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</si>
  <si>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</si>
  <si>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</si>
  <si>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</si>
  <si>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</si>
  <si>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</si>
  <si>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</si>
  <si>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</si>
  <si>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</si>
  <si>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</si>
  <si>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</si>
  <si>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</si>
  <si>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</si>
  <si>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</si>
  <si>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</si>
  <si>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</si>
  <si>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</si>
  <si>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</si>
  <si>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</si>
  <si>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</si>
  <si>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</si>
  <si>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</si>
  <si>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</si>
  <si>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</si>
  <si>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</si>
  <si>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</si>
  <si>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</si>
  <si>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</si>
  <si>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</si>
  <si>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</si>
  <si>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</si>
  <si>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</si>
  <si>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</si>
  <si>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</si>
  <si>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</si>
  <si>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</si>
  <si>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</si>
  <si>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</si>
  <si>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</si>
  <si>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</si>
  <si>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</si>
  <si>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</si>
  <si>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</si>
  <si>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</si>
  <si>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</si>
  <si>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</si>
  <si>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</si>
  <si>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</si>
  <si>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</si>
  <si>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</si>
  <si>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</si>
  <si>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</si>
  <si>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</si>
  <si>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</si>
  <si>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</si>
  <si>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</si>
  <si>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</si>
  <si>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</si>
  <si>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</si>
  <si>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</si>
  <si>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</si>
  <si>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</si>
  <si>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</si>
  <si>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</si>
  <si>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</si>
  <si>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</si>
  <si>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</si>
  <si>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</si>
  <si>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</si>
  <si>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</si>
  <si>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</si>
  <si>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</si>
  <si>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</si>
  <si>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</si>
  <si>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</si>
  <si>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</si>
  <si>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</si>
  <si>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</si>
  <si>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</si>
  <si>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</si>
  <si>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</si>
  <si>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</si>
  <si>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</si>
  <si>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</si>
  <si>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</si>
  <si>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</si>
  <si>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</si>
  <si>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</si>
  <si>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</si>
  <si>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</si>
  <si>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</si>
  <si>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</si>
  <si>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</si>
  <si>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</si>
  <si>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</si>
  <si>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</si>
  <si>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</si>
  <si>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</si>
  <si>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</si>
  <si>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</si>
  <si>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</si>
  <si>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</si>
  <si>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</si>
  <si>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</si>
  <si>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</si>
  <si>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</si>
  <si>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</si>
  <si>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</si>
  <si>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</si>
  <si>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</si>
  <si>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</si>
  <si>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</si>
  <si>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</si>
  <si>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</si>
  <si>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</si>
  <si>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</si>
  <si>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</si>
  <si>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</si>
  <si>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</si>
  <si>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</si>
  <si>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</si>
  <si>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</si>
  <si>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</si>
  <si>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</si>
  <si>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</si>
  <si>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</si>
  <si>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</si>
  <si>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</si>
  <si>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</si>
  <si>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</si>
  <si>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</si>
  <si>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</si>
  <si>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</si>
  <si>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</si>
  <si>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</si>
  <si>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</si>
  <si>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</si>
  <si>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</si>
  <si>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</si>
  <si>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</si>
  <si>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</si>
  <si>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</si>
  <si>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</si>
  <si>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</si>
  <si>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</si>
  <si>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</si>
  <si>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</si>
  <si>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</si>
  <si>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</si>
  <si>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</si>
  <si>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</si>
  <si>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</si>
  <si>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</si>
  <si>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</si>
  <si>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</si>
  <si>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</si>
  <si>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</si>
  <si>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</si>
  <si>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</si>
  <si>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</si>
  <si>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</si>
  <si>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</si>
  <si>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</si>
  <si>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</si>
  <si>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</si>
  <si>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</si>
  <si>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</si>
  <si>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</si>
  <si>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</si>
  <si>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</si>
  <si>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</si>
  <si>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</si>
  <si>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</si>
  <si>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</si>
  <si>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</si>
  <si>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</si>
  <si>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</si>
  <si>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</si>
  <si>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</si>
  <si>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</si>
  <si>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</si>
  <si>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</si>
  <si>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</si>
  <si>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</si>
  <si>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</si>
  <si>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</si>
  <si>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</si>
  <si>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</si>
  <si>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</si>
  <si>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</si>
  <si>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</si>
  <si>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</si>
  <si>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</si>
  <si>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</si>
  <si>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</si>
  <si>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</si>
  <si>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</si>
  <si>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</si>
  <si>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</si>
  <si>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</si>
  <si>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</si>
  <si>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</si>
  <si>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</si>
  <si>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</si>
  <si>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</si>
  <si>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</si>
  <si>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</si>
  <si>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</si>
  <si>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</si>
  <si>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</si>
  <si>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</si>
  <si>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</si>
  <si>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</si>
  <si>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</si>
  <si>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</si>
  <si>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</si>
  <si>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</si>
  <si>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</si>
  <si>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</si>
  <si>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</si>
  <si>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</si>
  <si>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</si>
  <si>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</si>
  <si>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</si>
  <si>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</si>
  <si>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</si>
  <si>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</si>
  <si>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</si>
  <si>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</si>
  <si>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</si>
  <si>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</si>
  <si>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</si>
  <si>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</si>
  <si>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</si>
  <si>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</si>
  <si>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</si>
  <si>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</si>
  <si>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</si>
  <si>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</si>
  <si>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</si>
  <si>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</si>
  <si>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</si>
  <si>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</si>
  <si>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</si>
  <si>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</si>
  <si>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</si>
  <si>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</si>
  <si>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</si>
  <si>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</si>
  <si>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</si>
  <si>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</si>
  <si>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</si>
  <si>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</si>
  <si>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</si>
  <si>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</si>
  <si>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</si>
  <si>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</si>
  <si>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</si>
  <si>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</si>
  <si>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</si>
  <si>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</si>
  <si>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</si>
  <si>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</si>
  <si>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</si>
  <si>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</si>
  <si>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</si>
  <si>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</si>
  <si>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</si>
  <si>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</si>
  <si>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</si>
  <si>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</si>
  <si>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</si>
  <si>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</si>
  <si>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</si>
  <si>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</si>
  <si>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</si>
  <si>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</si>
  <si>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</si>
  <si>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</si>
  <si>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</si>
  <si>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</si>
  <si>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</si>
  <si>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</si>
  <si>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</si>
  <si>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</si>
  <si>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</si>
  <si>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</si>
  <si>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</si>
  <si>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</si>
  <si>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</si>
  <si>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</si>
  <si>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</si>
  <si>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</si>
  <si>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</si>
  <si>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</si>
  <si>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</si>
  <si>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</si>
  <si>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</si>
  <si>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</si>
  <si>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</si>
  <si>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</si>
  <si>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</si>
  <si>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</si>
  <si>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</si>
  <si>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</si>
  <si>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</si>
  <si>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</si>
  <si>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</si>
  <si>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</si>
  <si>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</si>
  <si>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</si>
  <si>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</si>
  <si>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</si>
  <si>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</si>
  <si>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</si>
  <si>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</si>
  <si>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</si>
  <si>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</si>
  <si>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</si>
  <si>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</si>
  <si>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</si>
  <si>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</si>
  <si>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</si>
  <si>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</si>
  <si>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</si>
  <si>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</si>
  <si>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</si>
  <si>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</si>
  <si>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</si>
  <si>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</si>
  <si>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</si>
  <si>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</si>
  <si>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</si>
  <si>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</si>
  <si>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</si>
  <si>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</si>
  <si>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</si>
  <si>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</si>
  <si>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</si>
  <si>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</si>
  <si>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</si>
  <si>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</si>
  <si>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</si>
  <si>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</si>
  <si>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</si>
  <si>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</si>
  <si>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</si>
  <si>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</si>
  <si>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</si>
  <si>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</si>
  <si>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</si>
  <si>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</si>
  <si>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</si>
  <si>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</si>
  <si>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</si>
  <si>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</si>
  <si>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</si>
  <si>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</si>
  <si>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</si>
  <si>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</si>
  <si>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</si>
  <si>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</si>
  <si>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</si>
  <si>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</si>
  <si>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</si>
  <si>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</si>
  <si>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</si>
  <si>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</si>
  <si>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</si>
  <si>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</si>
  <si>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</si>
  <si>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</si>
  <si>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</si>
  <si>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</si>
  <si>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</si>
  <si>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</si>
  <si>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</si>
  <si>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</si>
  <si>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</si>
  <si>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</si>
  <si>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</si>
  <si>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</si>
  <si>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</si>
  <si>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</si>
  <si>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</si>
  <si>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</si>
  <si>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</si>
  <si>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</si>
  <si>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</si>
  <si>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</si>
  <si>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</si>
  <si>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</si>
  <si>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</si>
  <si>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</si>
  <si>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</si>
  <si>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</si>
  <si>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</si>
  <si>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</si>
  <si>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</si>
  <si>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</si>
  <si>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</si>
  <si>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</si>
  <si>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</si>
  <si>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</si>
  <si>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</si>
  <si>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</si>
  <si>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</si>
  <si>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</si>
  <si>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</si>
  <si>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</si>
  <si>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</si>
  <si>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</si>
  <si>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</si>
  <si>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</si>
  <si>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</si>
  <si>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</si>
  <si>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</si>
  <si>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</si>
  <si>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</si>
  <si>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</si>
  <si>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</si>
  <si>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</si>
  <si>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</si>
  <si>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</si>
  <si>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</si>
  <si>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</si>
  <si>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</si>
  <si>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</si>
  <si>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</si>
  <si>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</si>
  <si>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</si>
  <si>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</si>
  <si>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</si>
  <si>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</si>
  <si>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</si>
  <si>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</si>
  <si>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</si>
  <si>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</si>
  <si>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</si>
  <si>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</si>
  <si>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</si>
  <si>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</si>
  <si>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</si>
  <si>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</si>
  <si>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</si>
  <si>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</si>
  <si>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</si>
  <si>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</si>
  <si>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</si>
  <si>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</si>
  <si>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</si>
  <si>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</si>
  <si>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</si>
  <si>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</si>
  <si>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</si>
  <si>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</si>
  <si>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</si>
  <si>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</si>
  <si>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</si>
  <si>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</si>
  <si>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</si>
  <si>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</si>
  <si>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</si>
  <si>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</si>
  <si>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</si>
  <si>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</si>
  <si>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</si>
  <si>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</si>
  <si>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</si>
  <si>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</si>
  <si>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</si>
  <si>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</si>
  <si>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</si>
  <si>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</si>
  <si>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</si>
  <si>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</si>
  <si>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</si>
  <si>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</si>
  <si>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</si>
  <si>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</si>
  <si>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</si>
  <si>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</si>
  <si>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</si>
  <si>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</si>
  <si>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</si>
  <si>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</si>
  <si>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</si>
  <si>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</si>
  <si>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</si>
  <si>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</si>
  <si>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</si>
  <si>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</si>
  <si>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</si>
  <si>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</si>
  <si>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</si>
  <si>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</si>
  <si>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</si>
  <si>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</si>
  <si>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</si>
  <si>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</si>
  <si>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</si>
  <si>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</si>
  <si>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</si>
  <si>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</si>
  <si>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</si>
  <si>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</si>
  <si>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</si>
  <si>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</si>
  <si>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</si>
  <si>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</si>
  <si>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</si>
  <si>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</si>
  <si>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</si>
  <si>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</si>
  <si>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</si>
  <si>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</si>
  <si>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</si>
  <si>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</si>
  <si>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</si>
  <si>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</si>
  <si>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</si>
  <si>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</si>
  <si>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</si>
  <si>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</si>
  <si>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</si>
  <si>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</si>
  <si>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</si>
  <si>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</si>
  <si>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</si>
  <si>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</si>
  <si>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</si>
  <si>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</si>
  <si>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</si>
  <si>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</si>
  <si>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</si>
  <si>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</si>
  <si>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</si>
  <si>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</si>
  <si>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</si>
  <si>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</si>
  <si>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</si>
  <si>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</si>
  <si>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</si>
  <si>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</si>
  <si>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</si>
  <si>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</si>
  <si>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</si>
  <si>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</si>
  <si>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</si>
  <si>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</si>
  <si>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</si>
  <si>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</si>
  <si>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</si>
  <si>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</si>
  <si>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</si>
  <si>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</si>
  <si>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</si>
  <si>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</si>
  <si>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</si>
  <si>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</si>
  <si>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</si>
  <si>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</si>
  <si>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</si>
  <si>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</si>
  <si>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</si>
  <si>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</si>
  <si>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</si>
  <si>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</si>
  <si>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</si>
  <si>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</si>
  <si>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</si>
  <si>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</si>
  <si>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</si>
  <si>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</si>
  <si>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</si>
  <si>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</si>
  <si>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</si>
  <si>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</si>
  <si>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</si>
  <si>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</si>
  <si>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</si>
  <si>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</si>
  <si>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</si>
  <si>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</si>
  <si>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</si>
  <si>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</si>
  <si>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</si>
  <si>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</si>
  <si>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</si>
  <si>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</si>
  <si>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</si>
  <si>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</si>
  <si>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</si>
  <si>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</si>
  <si>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</si>
  <si>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</si>
  <si>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</si>
  <si>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</si>
  <si>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</si>
  <si>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</si>
  <si>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</si>
  <si>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</si>
  <si>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</si>
  <si>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</si>
  <si>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</si>
  <si>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</si>
  <si>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</si>
  <si>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</si>
  <si>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</si>
  <si>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</si>
  <si>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</si>
  <si>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</si>
  <si>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</si>
  <si>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</si>
  <si>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</si>
  <si>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</si>
  <si>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</si>
  <si>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</si>
  <si>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</si>
  <si>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</si>
  <si>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</si>
  <si>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</si>
  <si>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</si>
  <si>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</si>
  <si>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</si>
  <si>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</si>
  <si>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</si>
  <si>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</si>
  <si>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</si>
  <si>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</si>
  <si>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</si>
  <si>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</si>
  <si>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</si>
  <si>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</si>
  <si>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</si>
  <si>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</si>
  <si>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</si>
  <si>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</si>
  <si>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</si>
  <si>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</si>
  <si>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</si>
  <si>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</si>
  <si>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</si>
  <si>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</si>
  <si>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</si>
  <si>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</si>
  <si>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</si>
  <si>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</si>
  <si>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Cumeeira TP40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</si>
  <si>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</si>
  <si>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</si>
  <si>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</si>
  <si>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</si>
  <si>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</si>
  <si>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</si>
  <si>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</si>
  <si>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</si>
  <si>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</si>
  <si>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das docas de carregamento DPA IV (interno)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</si>
  <si>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</si>
  <si>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</si>
  <si>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</si>
  <si>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</si>
  <si>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</si>
  <si>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</si>
  <si>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Mão de obra para concretagem do piso do galpão 2100m² (DPA IV)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</si>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</sst>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0">
  <autoFilter ref="B3:H46"/>
  <sortState ref="B4:H46">
    <sortCondition ref="H3:H46"/>
  </sortState>
  <tableColumns count="7">
    <tableColumn id="1" name="Item" dataDxfId="3" dataCellStyle="Normal"/>
    <tableColumn id="2" name="Descrição" dataDxfId="4" dataCellStyle="Normal"/>
    <tableColumn id="3" name="Quantidade" dataDxfId="9" dataCellStyle="Normal"/>
    <tableColumn id="4" name="Unidade" dataDxfId="8" dataCellStyle="Normal"/>
    <tableColumn id="5" name="Preço Unitário" dataDxfId="7" dataCellStyle="Moeda"/>
    <tableColumn id="6" name="Preço Total" dataDxfId="6" dataCellStyle="Moeda">
      <calculatedColumnFormula>F4*D4</calculatedColumnFormula>
    </tableColumn>
    <tableColumn id="7" name="Aplicação" dataDxfId="5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5" totalsRowShown="0" headerRowDxfId="0" dataDxfId="17">
  <autoFilter ref="B3:I65"/>
  <sortState ref="B4:I62">
    <sortCondition ref="I3:I62"/>
  </sortState>
  <tableColumns count="8">
    <tableColumn id="1" name="Item" dataDxfId="1" dataCellStyle="Normal"/>
    <tableColumn id="8" name="Local" dataDxfId="2"/>
    <tableColumn id="2" name="Descrição" dataDxfId="16" dataCellStyle="Normal"/>
    <tableColumn id="3" name="Quantidade" dataDxfId="15" dataCellStyle="Normal"/>
    <tableColumn id="4" name="Unidade" dataDxfId="14" dataCellStyle="Normal"/>
    <tableColumn id="5" name="Preço Unitário" dataDxfId="13" dataCellStyle="Moeda"/>
    <tableColumn id="6" name="Preço Total" dataDxfId="12" dataCellStyle="Moeda">
      <calculatedColumnFormula>G4*E4</calculatedColumnFormula>
    </tableColumn>
    <tableColumn id="7" name="Aplicação" dataDxfId="11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9"/>
  <sheetViews>
    <sheetView topLeftCell="A16" workbookViewId="0">
      <selection activeCell="C32" sqref="C32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818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854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832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842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841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793</v>
      </c>
      <c r="D11" s="21"/>
      <c r="E11" s="21"/>
      <c r="F11" s="23"/>
      <c r="G11" s="23">
        <f>F11*D11</f>
        <v>0</v>
      </c>
      <c r="H11" s="21" t="s">
        <v>796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800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798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838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797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795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836</v>
      </c>
      <c r="F20" s="29">
        <v>9.65</v>
      </c>
      <c r="G20" s="29">
        <f>F20*D20</f>
        <v>20265</v>
      </c>
      <c r="H20" s="24" t="s">
        <v>771</v>
      </c>
      <c r="I20" s="14" t="s">
        <v>837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836</v>
      </c>
      <c r="F21" s="29">
        <v>9.65</v>
      </c>
      <c r="G21" s="29">
        <f>F21*D21</f>
        <v>22195</v>
      </c>
      <c r="H21" s="24" t="s">
        <v>771</v>
      </c>
      <c r="I21" s="14" t="s">
        <v>837</v>
      </c>
    </row>
    <row r="22" spans="2:9" x14ac:dyDescent="0.25">
      <c r="B22" s="20">
        <v>19</v>
      </c>
      <c r="C22" s="28" t="s">
        <v>833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834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835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810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801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803</v>
      </c>
      <c r="D36" s="21">
        <v>1</v>
      </c>
      <c r="E36" s="21" t="s">
        <v>760</v>
      </c>
      <c r="F36" s="23"/>
      <c r="G36" s="23">
        <f>F36*D36</f>
        <v>0</v>
      </c>
      <c r="H36" s="21" t="s">
        <v>804</v>
      </c>
    </row>
    <row r="37" spans="2:8" x14ac:dyDescent="0.25">
      <c r="B37" s="20">
        <v>34</v>
      </c>
      <c r="C37" s="22" t="s">
        <v>814</v>
      </c>
      <c r="D37" s="21">
        <v>1</v>
      </c>
      <c r="E37" s="21" t="s">
        <v>760</v>
      </c>
      <c r="F37" s="23"/>
      <c r="G37" s="23">
        <f>F37*D37</f>
        <v>0</v>
      </c>
      <c r="H37" s="21" t="s">
        <v>804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843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799</v>
      </c>
    </row>
    <row r="40" spans="2:8" x14ac:dyDescent="0.25">
      <c r="B40" s="20">
        <v>37</v>
      </c>
      <c r="C40" s="28" t="s">
        <v>844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799</v>
      </c>
    </row>
    <row r="41" spans="2:8" x14ac:dyDescent="0.25">
      <c r="B41" s="20">
        <v>38</v>
      </c>
      <c r="C41" s="25" t="s">
        <v>845</v>
      </c>
      <c r="D41" s="24">
        <v>44</v>
      </c>
      <c r="E41" s="24" t="s">
        <v>849</v>
      </c>
      <c r="F41" s="32">
        <v>95</v>
      </c>
      <c r="G41" s="32">
        <f>Tabela2[[#This Row],[Preço Unitário]]*Tabela2[[#This Row],[Quantidade]]</f>
        <v>4180</v>
      </c>
      <c r="H41" s="24" t="s">
        <v>799</v>
      </c>
    </row>
    <row r="42" spans="2:8" x14ac:dyDescent="0.25">
      <c r="B42" s="20">
        <v>39</v>
      </c>
      <c r="C42" s="25" t="s">
        <v>846</v>
      </c>
      <c r="D42" s="24">
        <v>3</v>
      </c>
      <c r="E42" s="24" t="s">
        <v>849</v>
      </c>
      <c r="F42" s="32">
        <v>35</v>
      </c>
      <c r="G42" s="32">
        <f>Tabela2[[#This Row],[Preço Unitário]]*Tabela2[[#This Row],[Quantidade]]</f>
        <v>105</v>
      </c>
      <c r="H42" s="24" t="s">
        <v>799</v>
      </c>
    </row>
    <row r="43" spans="2:8" x14ac:dyDescent="0.25">
      <c r="B43" s="20">
        <v>40</v>
      </c>
      <c r="C43" s="25" t="s">
        <v>847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799</v>
      </c>
    </row>
    <row r="44" spans="2:8" x14ac:dyDescent="0.25">
      <c r="B44" s="20">
        <v>41</v>
      </c>
      <c r="C44" s="25" t="s">
        <v>848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799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839</v>
      </c>
      <c r="D46" s="21"/>
      <c r="E46" s="21"/>
      <c r="F46" s="23"/>
      <c r="G46" s="23">
        <f>F46*D46</f>
        <v>0</v>
      </c>
      <c r="H46" s="21" t="s">
        <v>840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68"/>
  <sheetViews>
    <sheetView tabSelected="1" topLeftCell="A35" workbookViewId="0">
      <selection activeCell="I48" sqref="I48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824</v>
      </c>
    </row>
    <row r="2" spans="2:18" x14ac:dyDescent="0.25">
      <c r="P2" s="14" t="s">
        <v>825</v>
      </c>
    </row>
    <row r="3" spans="2:18" s="14" customFormat="1" x14ac:dyDescent="0.25">
      <c r="B3" s="14" t="s">
        <v>753</v>
      </c>
      <c r="C3" s="14" t="s">
        <v>806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826</v>
      </c>
    </row>
    <row r="4" spans="2:18" x14ac:dyDescent="0.25">
      <c r="B4" s="20">
        <v>1</v>
      </c>
      <c r="C4" s="17" t="s">
        <v>807</v>
      </c>
      <c r="D4" s="22" t="s">
        <v>793</v>
      </c>
      <c r="E4" s="21">
        <v>1</v>
      </c>
      <c r="F4" s="21" t="s">
        <v>760</v>
      </c>
      <c r="G4" s="23"/>
      <c r="H4" s="23">
        <f>G4*E4</f>
        <v>0</v>
      </c>
      <c r="I4" s="21" t="s">
        <v>813</v>
      </c>
      <c r="O4" s="14" t="s">
        <v>818</v>
      </c>
      <c r="P4" s="14" t="s">
        <v>820</v>
      </c>
      <c r="Q4" s="14" t="s">
        <v>821</v>
      </c>
      <c r="R4" s="14" t="s">
        <v>822</v>
      </c>
    </row>
    <row r="5" spans="2:18" x14ac:dyDescent="0.25">
      <c r="B5" s="20">
        <v>2</v>
      </c>
      <c r="C5" s="24" t="s">
        <v>807</v>
      </c>
      <c r="D5" s="28" t="s">
        <v>851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 t="shared" ref="P5:P20" si="0">O5/$O$24</f>
        <v>0.27943619534004144</v>
      </c>
      <c r="Q5" s="41">
        <f>P5</f>
        <v>0.27943619534004144</v>
      </c>
      <c r="R5" t="s">
        <v>823</v>
      </c>
    </row>
    <row r="6" spans="2:18" x14ac:dyDescent="0.25">
      <c r="B6" s="20">
        <v>3</v>
      </c>
      <c r="C6" s="17"/>
      <c r="D6" s="19" t="s">
        <v>853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 t="shared" si="0"/>
        <v>0.22292654386596095</v>
      </c>
      <c r="Q6" s="41">
        <f>P6+Q5</f>
        <v>0.50236273920600238</v>
      </c>
      <c r="R6" t="s">
        <v>823</v>
      </c>
    </row>
    <row r="7" spans="2:18" x14ac:dyDescent="0.25">
      <c r="B7" s="20">
        <v>4</v>
      </c>
      <c r="C7" s="17"/>
      <c r="D7" s="19" t="s">
        <v>852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 t="shared" si="0"/>
        <v>0</v>
      </c>
    </row>
    <row r="8" spans="2:18" x14ac:dyDescent="0.25">
      <c r="B8" s="20">
        <v>5</v>
      </c>
      <c r="C8" s="31"/>
      <c r="D8" s="22" t="s">
        <v>858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804</v>
      </c>
      <c r="O8" s="35">
        <f>SUMIF(Tabela24[Aplicação],"Serviço Prévio",Tabela24[Preço Total])</f>
        <v>729700</v>
      </c>
      <c r="P8" s="39">
        <f t="shared" si="0"/>
        <v>0.20544460449492216</v>
      </c>
    </row>
    <row r="9" spans="2:18" x14ac:dyDescent="0.25">
      <c r="B9" s="20">
        <v>6</v>
      </c>
      <c r="C9" s="31"/>
      <c r="D9" s="22" t="s">
        <v>860</v>
      </c>
      <c r="E9" s="21">
        <v>1</v>
      </c>
      <c r="F9" s="21" t="s">
        <v>760</v>
      </c>
      <c r="G9" s="23"/>
      <c r="H9" s="47">
        <f>G9*E9</f>
        <v>0</v>
      </c>
      <c r="I9" s="17" t="s">
        <v>253</v>
      </c>
      <c r="N9" s="37" t="s">
        <v>771</v>
      </c>
      <c r="O9" s="35">
        <f>SUMIF(Tabela24[Aplicação],"Fundação",Tabela24[Preço Total])</f>
        <v>416702.4</v>
      </c>
      <c r="P9" s="39">
        <f t="shared" si="0"/>
        <v>0.11732117275604338</v>
      </c>
    </row>
    <row r="10" spans="2:18" x14ac:dyDescent="0.25">
      <c r="B10" s="20">
        <v>7</v>
      </c>
      <c r="C10" s="17" t="s">
        <v>807</v>
      </c>
      <c r="D10" s="22" t="s">
        <v>789</v>
      </c>
      <c r="E10" s="21">
        <v>26</v>
      </c>
      <c r="F10" s="21" t="s">
        <v>760</v>
      </c>
      <c r="G10" s="23"/>
      <c r="H10" s="23">
        <f>G10*E10</f>
        <v>0</v>
      </c>
      <c r="I10" s="21" t="s">
        <v>643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si="0"/>
        <v>1.8732442013457442E-2</v>
      </c>
    </row>
    <row r="11" spans="2:18" x14ac:dyDescent="0.25">
      <c r="B11" s="20">
        <v>8</v>
      </c>
      <c r="C11" s="24" t="s">
        <v>807</v>
      </c>
      <c r="D11" s="43" t="s">
        <v>790</v>
      </c>
      <c r="E11" s="44">
        <v>600</v>
      </c>
      <c r="F11" s="44" t="s">
        <v>761</v>
      </c>
      <c r="G11" s="45">
        <v>3.35</v>
      </c>
      <c r="H11" s="45">
        <f>G11*E11</f>
        <v>2010</v>
      </c>
      <c r="I11" s="44" t="s">
        <v>643</v>
      </c>
      <c r="N11" s="36" t="s">
        <v>782</v>
      </c>
      <c r="O11" s="35">
        <f>SUMIF(Tabela24[Aplicação],"AVCB",Tabela24[Preço Total])</f>
        <v>486032</v>
      </c>
      <c r="P11" s="39">
        <f t="shared" si="0"/>
        <v>0.13684069071108126</v>
      </c>
    </row>
    <row r="12" spans="2:18" x14ac:dyDescent="0.25">
      <c r="B12" s="20">
        <v>9</v>
      </c>
      <c r="C12" s="17" t="s">
        <v>807</v>
      </c>
      <c r="D12" s="22" t="s">
        <v>812</v>
      </c>
      <c r="E12" s="21"/>
      <c r="F12" s="21"/>
      <c r="G12" s="23"/>
      <c r="H12" s="23">
        <f>G12*E12</f>
        <v>0</v>
      </c>
      <c r="I12" s="21" t="s">
        <v>643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807</v>
      </c>
      <c r="D13" s="28" t="s">
        <v>829</v>
      </c>
      <c r="E13" s="24">
        <v>54</v>
      </c>
      <c r="F13" s="24" t="s">
        <v>760</v>
      </c>
      <c r="G13" s="32">
        <v>243.39</v>
      </c>
      <c r="H13" s="32">
        <f>G13*E13</f>
        <v>13143.06</v>
      </c>
      <c r="I13" s="24" t="s">
        <v>830</v>
      </c>
      <c r="N13" s="36"/>
      <c r="O13" s="35"/>
      <c r="P13" s="39"/>
    </row>
    <row r="14" spans="2:18" x14ac:dyDescent="0.25">
      <c r="B14" s="20">
        <v>11</v>
      </c>
      <c r="C14" s="17" t="s">
        <v>807</v>
      </c>
      <c r="D14" s="28" t="s">
        <v>831</v>
      </c>
      <c r="E14" s="24">
        <v>30</v>
      </c>
      <c r="F14" s="24" t="s">
        <v>760</v>
      </c>
      <c r="G14" s="32">
        <v>119.7</v>
      </c>
      <c r="H14" s="32">
        <f>G14*E14</f>
        <v>3591</v>
      </c>
      <c r="I14" s="24" t="s">
        <v>830</v>
      </c>
      <c r="N14" s="36" t="s">
        <v>774</v>
      </c>
      <c r="O14" s="35">
        <f>SUMIF(Tabela24[Aplicação],"Fechamento Lateral",Tabela24[Preço Total])</f>
        <v>66534.056568800006</v>
      </c>
      <c r="P14" s="39">
        <f t="shared" si="0"/>
        <v>1.8732442013457442E-2</v>
      </c>
    </row>
    <row r="15" spans="2:18" x14ac:dyDescent="0.25">
      <c r="B15" s="20">
        <v>12</v>
      </c>
      <c r="C15" s="24" t="s">
        <v>807</v>
      </c>
      <c r="D15" s="28" t="s">
        <v>828</v>
      </c>
      <c r="E15" s="44">
        <v>390</v>
      </c>
      <c r="F15" s="24" t="s">
        <v>761</v>
      </c>
      <c r="G15" s="32">
        <v>38.116666600000002</v>
      </c>
      <c r="H15" s="32">
        <f>G15*E15</f>
        <v>14865.499974</v>
      </c>
      <c r="I15" s="24" t="s">
        <v>830</v>
      </c>
      <c r="N15" s="36" t="s">
        <v>643</v>
      </c>
      <c r="O15" s="35">
        <f>SUMIF(Tabela24[Aplicação],"Elétrica",Tabela24[Preço Total])</f>
        <v>2010</v>
      </c>
      <c r="P15" s="39">
        <f t="shared" si="0"/>
        <v>5.6590880503603334E-4</v>
      </c>
    </row>
    <row r="16" spans="2:18" x14ac:dyDescent="0.25">
      <c r="B16" s="20">
        <v>13</v>
      </c>
      <c r="C16" s="17" t="s">
        <v>807</v>
      </c>
      <c r="D16" s="28" t="s">
        <v>829</v>
      </c>
      <c r="E16" s="30">
        <f>(84*1.02)*2*1.02</f>
        <v>174.78720000000001</v>
      </c>
      <c r="F16" s="24" t="s">
        <v>760</v>
      </c>
      <c r="G16" s="32">
        <v>243.39</v>
      </c>
      <c r="H16" s="32">
        <f>G16*E16</f>
        <v>42541.456608</v>
      </c>
      <c r="I16" s="24" t="s">
        <v>774</v>
      </c>
      <c r="N16" s="36"/>
      <c r="O16" s="35"/>
      <c r="P16" s="39"/>
    </row>
    <row r="17" spans="2:16" x14ac:dyDescent="0.25">
      <c r="B17" s="20">
        <v>14</v>
      </c>
      <c r="C17" s="24" t="s">
        <v>807</v>
      </c>
      <c r="D17" s="28" t="s">
        <v>828</v>
      </c>
      <c r="E17" s="24">
        <f>84*7</f>
        <v>588</v>
      </c>
      <c r="F17" s="24" t="s">
        <v>761</v>
      </c>
      <c r="G17" s="32">
        <v>38.116666600000002</v>
      </c>
      <c r="H17" s="32">
        <f>G17*E17</f>
        <v>22412.599960800002</v>
      </c>
      <c r="I17" s="24" t="s">
        <v>774</v>
      </c>
      <c r="N17" s="36"/>
      <c r="O17" s="35"/>
      <c r="P17" s="39"/>
    </row>
    <row r="18" spans="2:16" x14ac:dyDescent="0.25">
      <c r="B18" s="20">
        <v>15</v>
      </c>
      <c r="C18" s="24"/>
      <c r="D18" s="28" t="s">
        <v>856</v>
      </c>
      <c r="E18" s="24">
        <v>30</v>
      </c>
      <c r="F18" s="24" t="s">
        <v>849</v>
      </c>
      <c r="G18" s="32">
        <v>24</v>
      </c>
      <c r="H18" s="32">
        <f>G18*E18</f>
        <v>720</v>
      </c>
      <c r="I18" s="24" t="s">
        <v>774</v>
      </c>
      <c r="N18" s="36"/>
      <c r="O18" s="35"/>
      <c r="P18" s="39"/>
    </row>
    <row r="19" spans="2:16" x14ac:dyDescent="0.25">
      <c r="B19" s="20">
        <v>16</v>
      </c>
      <c r="C19" s="24"/>
      <c r="D19" s="28" t="s">
        <v>857</v>
      </c>
      <c r="E19" s="24">
        <v>1</v>
      </c>
      <c r="F19" s="24" t="s">
        <v>760</v>
      </c>
      <c r="G19" s="32">
        <v>860</v>
      </c>
      <c r="H19" s="32">
        <f>G19*E19</f>
        <v>860</v>
      </c>
      <c r="I19" s="24" t="s">
        <v>774</v>
      </c>
      <c r="N19" s="36" t="s">
        <v>576</v>
      </c>
      <c r="O19" s="35">
        <f>SUMIF(Tabela24[Aplicação],"Pintura",Tabela24[Preço Total])</f>
        <v>0</v>
      </c>
      <c r="P19" s="39">
        <f t="shared" si="0"/>
        <v>0</v>
      </c>
    </row>
    <row r="20" spans="2:16" x14ac:dyDescent="0.25">
      <c r="B20" s="20">
        <v>17</v>
      </c>
      <c r="C20" s="17" t="s">
        <v>807</v>
      </c>
      <c r="D20" s="22" t="s">
        <v>779</v>
      </c>
      <c r="E20" s="21"/>
      <c r="F20" s="21" t="s">
        <v>761</v>
      </c>
      <c r="G20" s="23"/>
      <c r="H20" s="23">
        <f>G20*E20</f>
        <v>0</v>
      </c>
      <c r="I20" s="21" t="s">
        <v>774</v>
      </c>
      <c r="N20" s="36" t="s">
        <v>813</v>
      </c>
      <c r="O20" s="35">
        <f>SUMIF(Tabela24[Aplicação],"Armazenamento",Tabela24[Preço Total])</f>
        <v>0</v>
      </c>
      <c r="P20" s="39">
        <f t="shared" si="0"/>
        <v>0</v>
      </c>
    </row>
    <row r="21" spans="2:16" x14ac:dyDescent="0.25">
      <c r="B21" s="20">
        <v>18</v>
      </c>
      <c r="C21" s="17" t="s">
        <v>807</v>
      </c>
      <c r="D21" s="22" t="s">
        <v>780</v>
      </c>
      <c r="E21" s="21"/>
      <c r="F21" s="21"/>
      <c r="G21" s="23"/>
      <c r="H21" s="23">
        <f>G21*E21</f>
        <v>0</v>
      </c>
      <c r="I21" s="21" t="s">
        <v>774</v>
      </c>
      <c r="N21" s="36"/>
      <c r="O21" s="35"/>
      <c r="P21" s="39"/>
    </row>
    <row r="22" spans="2:16" x14ac:dyDescent="0.25">
      <c r="B22" s="20">
        <v>19</v>
      </c>
      <c r="C22" s="17" t="s">
        <v>807</v>
      </c>
      <c r="D22" s="22" t="s">
        <v>781</v>
      </c>
      <c r="E22" s="21"/>
      <c r="F22" s="21"/>
      <c r="G22" s="23"/>
      <c r="H22" s="23">
        <f>G22*E22</f>
        <v>0</v>
      </c>
      <c r="I22" s="21" t="s">
        <v>774</v>
      </c>
      <c r="N22" s="36"/>
      <c r="O22" s="35"/>
      <c r="P22" s="39"/>
    </row>
    <row r="23" spans="2:16" x14ac:dyDescent="0.25">
      <c r="B23" s="20">
        <v>20</v>
      </c>
      <c r="C23" s="17" t="s">
        <v>807</v>
      </c>
      <c r="D23" s="22" t="s">
        <v>816</v>
      </c>
      <c r="E23" s="21">
        <v>1</v>
      </c>
      <c r="F23" s="21"/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807</v>
      </c>
      <c r="D24" s="28" t="s">
        <v>794</v>
      </c>
      <c r="E24" s="24">
        <v>1</v>
      </c>
      <c r="F24" s="24" t="s">
        <v>760</v>
      </c>
      <c r="G24" s="29">
        <v>6000</v>
      </c>
      <c r="H24" s="29">
        <f>G24*E24</f>
        <v>6000</v>
      </c>
      <c r="I24" s="24" t="s">
        <v>771</v>
      </c>
      <c r="N24" s="36" t="s">
        <v>819</v>
      </c>
      <c r="O24" s="38">
        <f>SUM(O5:O20)</f>
        <v>3551809.0231375997</v>
      </c>
    </row>
    <row r="25" spans="2:16" x14ac:dyDescent="0.25">
      <c r="B25" s="20">
        <v>22</v>
      </c>
      <c r="C25" s="17" t="s">
        <v>807</v>
      </c>
      <c r="D25" s="28" t="s">
        <v>769</v>
      </c>
      <c r="E25" s="24">
        <v>4100</v>
      </c>
      <c r="F25" s="24" t="s">
        <v>836</v>
      </c>
      <c r="G25" s="29">
        <v>9.65</v>
      </c>
      <c r="H25" s="29">
        <f>G25*E25</f>
        <v>39565</v>
      </c>
      <c r="I25" s="24" t="s">
        <v>771</v>
      </c>
      <c r="J25" s="14" t="s">
        <v>837</v>
      </c>
      <c r="N25" s="36"/>
      <c r="O25" s="38"/>
    </row>
    <row r="26" spans="2:16" x14ac:dyDescent="0.25">
      <c r="B26" s="20">
        <v>23</v>
      </c>
      <c r="C26" s="17" t="s">
        <v>807</v>
      </c>
      <c r="D26" s="28" t="s">
        <v>770</v>
      </c>
      <c r="E26" s="24">
        <v>4000</v>
      </c>
      <c r="F26" s="24" t="s">
        <v>836</v>
      </c>
      <c r="G26" s="29">
        <v>9.65</v>
      </c>
      <c r="H26" s="29">
        <f>G26*E26</f>
        <v>38600</v>
      </c>
      <c r="I26" s="24" t="s">
        <v>771</v>
      </c>
      <c r="J26" s="14" t="s">
        <v>837</v>
      </c>
    </row>
    <row r="27" spans="2:16" x14ac:dyDescent="0.25">
      <c r="B27" s="20">
        <v>24</v>
      </c>
      <c r="C27" s="24" t="s">
        <v>807</v>
      </c>
      <c r="D27" s="28" t="s">
        <v>827</v>
      </c>
      <c r="E27" s="24">
        <v>1</v>
      </c>
      <c r="F27" s="24" t="s">
        <v>760</v>
      </c>
      <c r="G27" s="29">
        <v>164000</v>
      </c>
      <c r="H27" s="29">
        <f>G27*E27</f>
        <v>164000</v>
      </c>
      <c r="I27" s="24" t="s">
        <v>771</v>
      </c>
    </row>
    <row r="28" spans="2:16" x14ac:dyDescent="0.25">
      <c r="B28" s="20">
        <v>25</v>
      </c>
      <c r="C28" s="17" t="s">
        <v>807</v>
      </c>
      <c r="D28" s="28" t="s">
        <v>864</v>
      </c>
      <c r="E28" s="24">
        <v>99.22</v>
      </c>
      <c r="F28" s="24" t="s">
        <v>759</v>
      </c>
      <c r="G28" s="29">
        <v>670</v>
      </c>
      <c r="H28" s="29">
        <f>G28*E28</f>
        <v>66477.399999999994</v>
      </c>
      <c r="I28" s="24" t="s">
        <v>771</v>
      </c>
    </row>
    <row r="29" spans="2:16" x14ac:dyDescent="0.25">
      <c r="B29" s="20">
        <v>26</v>
      </c>
      <c r="C29" s="17"/>
      <c r="D29" s="28" t="s">
        <v>863</v>
      </c>
      <c r="E29" s="24">
        <v>68</v>
      </c>
      <c r="F29" s="24" t="s">
        <v>759</v>
      </c>
      <c r="G29" s="29">
        <v>670</v>
      </c>
      <c r="H29" s="29">
        <f>G29*E29</f>
        <v>45560</v>
      </c>
      <c r="I29" s="24" t="s">
        <v>771</v>
      </c>
    </row>
    <row r="30" spans="2:16" x14ac:dyDescent="0.25">
      <c r="B30" s="20">
        <v>27</v>
      </c>
      <c r="C30" s="17" t="s">
        <v>807</v>
      </c>
      <c r="D30" s="28" t="s">
        <v>833</v>
      </c>
      <c r="E30" s="24">
        <v>1</v>
      </c>
      <c r="F30" s="24" t="s">
        <v>760</v>
      </c>
      <c r="G30" s="29">
        <v>56500</v>
      </c>
      <c r="H30" s="29">
        <f>G30*E30</f>
        <v>56500</v>
      </c>
      <c r="I30" s="24" t="s">
        <v>771</v>
      </c>
    </row>
    <row r="31" spans="2:16" x14ac:dyDescent="0.25">
      <c r="B31" s="20">
        <v>28</v>
      </c>
      <c r="C31" s="17" t="s">
        <v>807</v>
      </c>
      <c r="D31" s="19" t="s">
        <v>777</v>
      </c>
      <c r="E31" s="20"/>
      <c r="F31" s="20"/>
      <c r="G31" s="18"/>
      <c r="H31" s="18">
        <f>G31*E31</f>
        <v>0</v>
      </c>
      <c r="I31" s="20" t="s">
        <v>771</v>
      </c>
    </row>
    <row r="32" spans="2:16" x14ac:dyDescent="0.25">
      <c r="B32" s="20">
        <v>29</v>
      </c>
      <c r="C32" s="17" t="s">
        <v>807</v>
      </c>
      <c r="D32" s="22" t="s">
        <v>785</v>
      </c>
      <c r="E32" s="21"/>
      <c r="F32" s="21"/>
      <c r="G32" s="23"/>
      <c r="H32" s="23">
        <f>G32*E32</f>
        <v>0</v>
      </c>
      <c r="I32" s="21" t="s">
        <v>576</v>
      </c>
    </row>
    <row r="33" spans="2:9" x14ac:dyDescent="0.25">
      <c r="B33" s="20">
        <v>30</v>
      </c>
      <c r="C33" s="17" t="s">
        <v>807</v>
      </c>
      <c r="D33" s="22" t="s">
        <v>786</v>
      </c>
      <c r="E33" s="21"/>
      <c r="F33" s="21"/>
      <c r="G33" s="23"/>
      <c r="H33" s="23">
        <f>G33*E33</f>
        <v>0</v>
      </c>
      <c r="I33" s="21" t="s">
        <v>576</v>
      </c>
    </row>
    <row r="34" spans="2:9" x14ac:dyDescent="0.25">
      <c r="B34" s="20">
        <v>31</v>
      </c>
      <c r="C34" s="17" t="s">
        <v>807</v>
      </c>
      <c r="D34" s="22" t="s">
        <v>787</v>
      </c>
      <c r="E34" s="21"/>
      <c r="F34" s="21"/>
      <c r="G34" s="23"/>
      <c r="H34" s="23">
        <f>G34*E34</f>
        <v>0</v>
      </c>
      <c r="I34" s="21" t="s">
        <v>576</v>
      </c>
    </row>
    <row r="35" spans="2:9" x14ac:dyDescent="0.25">
      <c r="B35" s="20">
        <v>32</v>
      </c>
      <c r="C35" s="17" t="s">
        <v>807</v>
      </c>
      <c r="D35" s="22" t="s">
        <v>788</v>
      </c>
      <c r="E35" s="21"/>
      <c r="F35" s="21"/>
      <c r="G35" s="23"/>
      <c r="H35" s="23">
        <f>G35*E35</f>
        <v>0</v>
      </c>
      <c r="I35" s="21" t="s">
        <v>576</v>
      </c>
    </row>
    <row r="36" spans="2:9" x14ac:dyDescent="0.25">
      <c r="B36" s="20">
        <v>33</v>
      </c>
      <c r="C36" s="24" t="s">
        <v>807</v>
      </c>
      <c r="D36" s="28" t="s">
        <v>757</v>
      </c>
      <c r="E36" s="30">
        <f>(2150*1.05)*0.15</f>
        <v>338.625</v>
      </c>
      <c r="F36" s="24" t="s">
        <v>759</v>
      </c>
      <c r="G36" s="29">
        <v>670</v>
      </c>
      <c r="H36" s="29">
        <f>G36*E36</f>
        <v>226878.75</v>
      </c>
      <c r="I36" s="24" t="s">
        <v>870</v>
      </c>
    </row>
    <row r="37" spans="2:9" x14ac:dyDescent="0.25">
      <c r="B37" s="20">
        <v>34</v>
      </c>
      <c r="C37" s="24" t="s">
        <v>807</v>
      </c>
      <c r="D37" s="28" t="s">
        <v>775</v>
      </c>
      <c r="E37" s="30">
        <f>(2150/13)*2</f>
        <v>330.76923076923077</v>
      </c>
      <c r="F37" s="24" t="s">
        <v>760</v>
      </c>
      <c r="G37" s="29">
        <v>220.5</v>
      </c>
      <c r="H37" s="29">
        <f>G37*E37</f>
        <v>72934.61538461539</v>
      </c>
      <c r="I37" s="24" t="s">
        <v>870</v>
      </c>
    </row>
    <row r="38" spans="2:9" x14ac:dyDescent="0.25">
      <c r="B38" s="20">
        <v>35</v>
      </c>
      <c r="C38" s="24" t="s">
        <v>807</v>
      </c>
      <c r="D38" s="28" t="s">
        <v>758</v>
      </c>
      <c r="E38" s="24">
        <f>2100/12</f>
        <v>175</v>
      </c>
      <c r="F38" s="24" t="s">
        <v>761</v>
      </c>
      <c r="G38" s="29">
        <v>56.2</v>
      </c>
      <c r="H38" s="29">
        <f>G38*E38</f>
        <v>9835</v>
      </c>
      <c r="I38" s="24" t="s">
        <v>870</v>
      </c>
    </row>
    <row r="39" spans="2:9" x14ac:dyDescent="0.25">
      <c r="B39" s="20">
        <v>36</v>
      </c>
      <c r="C39" s="24" t="s">
        <v>807</v>
      </c>
      <c r="D39" s="28" t="s">
        <v>762</v>
      </c>
      <c r="E39" s="24">
        <v>1000</v>
      </c>
      <c r="F39" s="24" t="s">
        <v>763</v>
      </c>
      <c r="G39" s="29">
        <v>7.3</v>
      </c>
      <c r="H39" s="29">
        <f>G39*E39</f>
        <v>7300</v>
      </c>
      <c r="I39" s="24" t="s">
        <v>870</v>
      </c>
    </row>
    <row r="40" spans="2:9" x14ac:dyDescent="0.25">
      <c r="B40" s="20">
        <v>37</v>
      </c>
      <c r="C40" s="17" t="s">
        <v>807</v>
      </c>
      <c r="D40" s="28" t="s">
        <v>811</v>
      </c>
      <c r="E40" s="30">
        <f>E36</f>
        <v>338.625</v>
      </c>
      <c r="F40" s="24" t="s">
        <v>766</v>
      </c>
      <c r="G40" s="29">
        <v>50</v>
      </c>
      <c r="H40" s="29">
        <f>G40*E40</f>
        <v>16931.25</v>
      </c>
      <c r="I40" s="24" t="s">
        <v>870</v>
      </c>
    </row>
    <row r="41" spans="2:9" x14ac:dyDescent="0.25">
      <c r="B41" s="20">
        <v>38</v>
      </c>
      <c r="C41" s="17" t="s">
        <v>807</v>
      </c>
      <c r="D41" s="28" t="s">
        <v>867</v>
      </c>
      <c r="E41" s="24">
        <v>1</v>
      </c>
      <c r="F41" s="24" t="s">
        <v>760</v>
      </c>
      <c r="G41" s="29">
        <v>53550</v>
      </c>
      <c r="H41" s="29">
        <f>G41*E41</f>
        <v>53550</v>
      </c>
      <c r="I41" s="24" t="s">
        <v>870</v>
      </c>
    </row>
    <row r="42" spans="2:9" x14ac:dyDescent="0.25">
      <c r="B42" s="20">
        <v>39</v>
      </c>
      <c r="C42" s="31" t="s">
        <v>808</v>
      </c>
      <c r="D42" s="43" t="s">
        <v>815</v>
      </c>
      <c r="E42" s="44">
        <v>110</v>
      </c>
      <c r="F42" s="44" t="s">
        <v>760</v>
      </c>
      <c r="G42" s="45">
        <v>42.29</v>
      </c>
      <c r="H42" s="45">
        <f>G42*E42</f>
        <v>4651.8999999999996</v>
      </c>
      <c r="I42" s="44" t="s">
        <v>868</v>
      </c>
    </row>
    <row r="43" spans="2:9" x14ac:dyDescent="0.25">
      <c r="B43" s="20">
        <v>40</v>
      </c>
      <c r="C43" s="31"/>
      <c r="D43" s="43" t="s">
        <v>869</v>
      </c>
      <c r="E43" s="44">
        <v>1</v>
      </c>
      <c r="F43" s="44" t="s">
        <v>760</v>
      </c>
      <c r="G43" s="45">
        <v>1400</v>
      </c>
      <c r="H43" s="45">
        <f>G43*E43</f>
        <v>1400</v>
      </c>
      <c r="I43" s="44" t="s">
        <v>868</v>
      </c>
    </row>
    <row r="44" spans="2:9" x14ac:dyDescent="0.25">
      <c r="B44" s="20">
        <v>41</v>
      </c>
      <c r="C44" s="31" t="s">
        <v>808</v>
      </c>
      <c r="D44" s="43" t="s">
        <v>757</v>
      </c>
      <c r="E44" s="50">
        <f>((1260+960)*0.15)*1.1</f>
        <v>366.3</v>
      </c>
      <c r="F44" s="44" t="s">
        <v>759</v>
      </c>
      <c r="G44" s="45">
        <v>670</v>
      </c>
      <c r="H44" s="45">
        <f>G44*E44</f>
        <v>245421</v>
      </c>
      <c r="I44" s="44" t="s">
        <v>868</v>
      </c>
    </row>
    <row r="45" spans="2:9" x14ac:dyDescent="0.25">
      <c r="B45" s="20">
        <v>42</v>
      </c>
      <c r="C45" s="31" t="s">
        <v>808</v>
      </c>
      <c r="D45" s="28" t="s">
        <v>775</v>
      </c>
      <c r="E45" s="50">
        <f>(1260+960)/13*1.05</f>
        <v>179.30769230769232</v>
      </c>
      <c r="F45" s="44" t="s">
        <v>760</v>
      </c>
      <c r="G45" s="45">
        <v>220.5</v>
      </c>
      <c r="H45" s="45">
        <f>G45*E45</f>
        <v>39537.346153846156</v>
      </c>
      <c r="I45" s="44" t="s">
        <v>868</v>
      </c>
    </row>
    <row r="46" spans="2:9" x14ac:dyDescent="0.25">
      <c r="B46" s="20">
        <v>43</v>
      </c>
      <c r="C46" s="31" t="s">
        <v>808</v>
      </c>
      <c r="D46" s="22" t="s">
        <v>871</v>
      </c>
      <c r="E46" s="21">
        <v>1</v>
      </c>
      <c r="F46" s="21" t="s">
        <v>760</v>
      </c>
      <c r="G46" s="49"/>
      <c r="H46" s="49">
        <f>G46*E46</f>
        <v>0</v>
      </c>
      <c r="I46" s="21" t="s">
        <v>868</v>
      </c>
    </row>
    <row r="47" spans="2:9" x14ac:dyDescent="0.25">
      <c r="B47" s="20"/>
      <c r="C47" s="31"/>
      <c r="D47" s="22" t="s">
        <v>757</v>
      </c>
      <c r="E47" s="21"/>
      <c r="F47" s="21"/>
      <c r="G47" s="49"/>
      <c r="H47" s="49">
        <f>G47*E47</f>
        <v>0</v>
      </c>
      <c r="I47" s="21" t="s">
        <v>872</v>
      </c>
    </row>
    <row r="48" spans="2:9" x14ac:dyDescent="0.25">
      <c r="B48" s="20"/>
      <c r="C48" s="31"/>
      <c r="D48" s="19" t="s">
        <v>775</v>
      </c>
      <c r="E48" s="21"/>
      <c r="F48" s="21"/>
      <c r="G48" s="49"/>
      <c r="H48" s="49">
        <f>G48*E48</f>
        <v>0</v>
      </c>
      <c r="I48" s="21" t="s">
        <v>872</v>
      </c>
    </row>
    <row r="49" spans="2:9" x14ac:dyDescent="0.25">
      <c r="B49" s="20"/>
      <c r="C49" s="31"/>
      <c r="D49" s="19" t="s">
        <v>758</v>
      </c>
      <c r="E49" s="21"/>
      <c r="F49" s="21"/>
      <c r="G49" s="49"/>
      <c r="H49" s="49">
        <f>G49*E49</f>
        <v>0</v>
      </c>
      <c r="I49" s="21" t="s">
        <v>872</v>
      </c>
    </row>
    <row r="50" spans="2:9" x14ac:dyDescent="0.25">
      <c r="B50" s="20">
        <v>44</v>
      </c>
      <c r="C50" s="17" t="s">
        <v>807</v>
      </c>
      <c r="D50" s="28" t="s">
        <v>855</v>
      </c>
      <c r="E50" s="24">
        <v>1</v>
      </c>
      <c r="F50" s="24" t="s">
        <v>760</v>
      </c>
      <c r="G50" s="32">
        <v>24500</v>
      </c>
      <c r="H50" s="32">
        <f>G50*E50</f>
        <v>24500</v>
      </c>
      <c r="I50" s="24" t="s">
        <v>772</v>
      </c>
    </row>
    <row r="51" spans="2:9" x14ac:dyDescent="0.25">
      <c r="B51" s="20">
        <v>45</v>
      </c>
      <c r="C51" s="17" t="s">
        <v>807</v>
      </c>
      <c r="D51" s="19" t="s">
        <v>832</v>
      </c>
      <c r="E51" s="20"/>
      <c r="F51" s="20"/>
      <c r="G51" s="18"/>
      <c r="H51" s="18">
        <f>G51*E51</f>
        <v>0</v>
      </c>
      <c r="I51" s="20" t="s">
        <v>772</v>
      </c>
    </row>
    <row r="52" spans="2:9" x14ac:dyDescent="0.25">
      <c r="B52" s="20">
        <v>46</v>
      </c>
      <c r="C52" s="17" t="s">
        <v>807</v>
      </c>
      <c r="D52" s="28" t="s">
        <v>773</v>
      </c>
      <c r="E52" s="24">
        <v>1</v>
      </c>
      <c r="F52" s="24" t="s">
        <v>760</v>
      </c>
      <c r="G52" s="29">
        <v>968004</v>
      </c>
      <c r="H52" s="29">
        <f>G52*E52</f>
        <v>968004</v>
      </c>
      <c r="I52" s="24" t="s">
        <v>772</v>
      </c>
    </row>
    <row r="53" spans="2:9" x14ac:dyDescent="0.25">
      <c r="B53" s="20">
        <v>47</v>
      </c>
      <c r="C53" s="17" t="s">
        <v>808</v>
      </c>
      <c r="D53" s="43" t="s">
        <v>802</v>
      </c>
      <c r="E53" s="44">
        <v>1</v>
      </c>
      <c r="F53" s="44" t="s">
        <v>760</v>
      </c>
      <c r="G53" s="45">
        <v>46600</v>
      </c>
      <c r="H53" s="45">
        <f>G53*E53</f>
        <v>46600</v>
      </c>
      <c r="I53" s="44" t="s">
        <v>804</v>
      </c>
    </row>
    <row r="54" spans="2:9" x14ac:dyDescent="0.25">
      <c r="B54" s="20">
        <v>48</v>
      </c>
      <c r="C54" s="17" t="s">
        <v>808</v>
      </c>
      <c r="D54" s="43" t="s">
        <v>805</v>
      </c>
      <c r="E54" s="44">
        <v>1</v>
      </c>
      <c r="F54" s="44" t="s">
        <v>760</v>
      </c>
      <c r="G54" s="45">
        <v>8100</v>
      </c>
      <c r="H54" s="45">
        <f>G54*E54</f>
        <v>8100</v>
      </c>
      <c r="I54" s="44" t="s">
        <v>804</v>
      </c>
    </row>
    <row r="55" spans="2:9" x14ac:dyDescent="0.25">
      <c r="B55" s="20">
        <v>49</v>
      </c>
      <c r="C55" s="17" t="s">
        <v>808</v>
      </c>
      <c r="D55" s="43" t="s">
        <v>817</v>
      </c>
      <c r="E55" s="44">
        <v>1</v>
      </c>
      <c r="F55" s="44" t="s">
        <v>760</v>
      </c>
      <c r="G55" s="45">
        <v>5000</v>
      </c>
      <c r="H55" s="45">
        <f>G55*E55</f>
        <v>5000</v>
      </c>
      <c r="I55" s="44" t="s">
        <v>804</v>
      </c>
    </row>
    <row r="56" spans="2:9" x14ac:dyDescent="0.25">
      <c r="B56" s="20">
        <v>50</v>
      </c>
      <c r="C56" s="17" t="s">
        <v>808</v>
      </c>
      <c r="D56" s="43" t="s">
        <v>809</v>
      </c>
      <c r="E56" s="44">
        <v>1</v>
      </c>
      <c r="F56" s="44" t="s">
        <v>760</v>
      </c>
      <c r="G56" s="45">
        <v>670000</v>
      </c>
      <c r="H56" s="45">
        <f>G56*E56</f>
        <v>670000</v>
      </c>
      <c r="I56" s="44" t="s">
        <v>804</v>
      </c>
    </row>
    <row r="57" spans="2:9" x14ac:dyDescent="0.25">
      <c r="B57" s="20">
        <v>51</v>
      </c>
      <c r="C57" s="17" t="s">
        <v>807</v>
      </c>
      <c r="D57" s="19" t="s">
        <v>791</v>
      </c>
      <c r="E57" s="20"/>
      <c r="F57" s="20"/>
      <c r="G57" s="18"/>
      <c r="H57" s="18">
        <f>G57*E57</f>
        <v>0</v>
      </c>
      <c r="I57" s="20" t="s">
        <v>419</v>
      </c>
    </row>
    <row r="58" spans="2:9" x14ac:dyDescent="0.25">
      <c r="B58" s="20">
        <v>52</v>
      </c>
      <c r="C58" s="17"/>
      <c r="D58" s="19" t="s">
        <v>850</v>
      </c>
      <c r="E58" s="20"/>
      <c r="F58" s="20"/>
      <c r="G58" s="18"/>
      <c r="H58" s="18">
        <f>G58*E58</f>
        <v>0</v>
      </c>
      <c r="I58" s="20" t="s">
        <v>799</v>
      </c>
    </row>
    <row r="59" spans="2:9" x14ac:dyDescent="0.25">
      <c r="B59" s="20">
        <v>53</v>
      </c>
      <c r="C59" s="17" t="s">
        <v>807</v>
      </c>
      <c r="D59" s="19" t="s">
        <v>792</v>
      </c>
      <c r="E59" s="20"/>
      <c r="F59" s="20"/>
      <c r="G59" s="18"/>
      <c r="H59" s="18">
        <f>G59*E59</f>
        <v>0</v>
      </c>
      <c r="I59" s="17" t="s">
        <v>799</v>
      </c>
    </row>
    <row r="60" spans="2:9" x14ac:dyDescent="0.25">
      <c r="B60" s="20">
        <v>54</v>
      </c>
      <c r="C60" s="17" t="s">
        <v>807</v>
      </c>
      <c r="D60" s="19" t="s">
        <v>784</v>
      </c>
      <c r="E60" s="20">
        <v>1</v>
      </c>
      <c r="F60" s="20" t="s">
        <v>760</v>
      </c>
      <c r="G60" s="18">
        <v>791792.51</v>
      </c>
      <c r="H60" s="18">
        <f>G60*E60</f>
        <v>791792.51</v>
      </c>
      <c r="I60" s="20" t="s">
        <v>783</v>
      </c>
    </row>
    <row r="61" spans="2:9" x14ac:dyDescent="0.25">
      <c r="B61" s="20">
        <v>55</v>
      </c>
      <c r="C61" s="17"/>
      <c r="D61" s="22" t="s">
        <v>861</v>
      </c>
      <c r="E61" s="21"/>
      <c r="F61" s="21"/>
      <c r="G61" s="49"/>
      <c r="H61" s="49">
        <f>G61*E61</f>
        <v>0</v>
      </c>
      <c r="I61" s="21"/>
    </row>
    <row r="62" spans="2:9" x14ac:dyDescent="0.25">
      <c r="B62" s="20">
        <v>56</v>
      </c>
      <c r="C62" s="17"/>
      <c r="D62" s="22" t="s">
        <v>862</v>
      </c>
      <c r="E62" s="21"/>
      <c r="F62" s="21"/>
      <c r="G62" s="49"/>
      <c r="H62" s="49">
        <f>G62*E62</f>
        <v>0</v>
      </c>
      <c r="I62" s="21"/>
    </row>
    <row r="63" spans="2:9" x14ac:dyDescent="0.25">
      <c r="B63" s="20">
        <v>57</v>
      </c>
      <c r="C63" s="17"/>
      <c r="D63" s="22" t="s">
        <v>865</v>
      </c>
      <c r="E63" s="21"/>
      <c r="F63" s="21"/>
      <c r="G63" s="49"/>
      <c r="H63" s="49">
        <f>G63*E63</f>
        <v>0</v>
      </c>
      <c r="I63" s="21"/>
    </row>
    <row r="64" spans="2:9" x14ac:dyDescent="0.25">
      <c r="B64" s="20">
        <v>58</v>
      </c>
      <c r="C64" s="17"/>
      <c r="D64" s="19" t="s">
        <v>866</v>
      </c>
      <c r="E64" s="20"/>
      <c r="F64" s="20"/>
      <c r="G64" s="18"/>
      <c r="H64" s="18">
        <f>G64*E64</f>
        <v>0</v>
      </c>
      <c r="I64" s="20"/>
    </row>
    <row r="65" spans="2:9" x14ac:dyDescent="0.25">
      <c r="B65" s="20">
        <v>59</v>
      </c>
      <c r="C65" s="31"/>
      <c r="D65" s="22" t="s">
        <v>859</v>
      </c>
      <c r="E65" s="21"/>
      <c r="F65" s="21"/>
      <c r="G65" s="23"/>
      <c r="H65" s="47">
        <f>G65*E65</f>
        <v>0</v>
      </c>
      <c r="I65" s="21"/>
    </row>
    <row r="66" spans="2:9" x14ac:dyDescent="0.25">
      <c r="B66" s="21"/>
      <c r="C66" s="31"/>
      <c r="D66" s="22"/>
      <c r="E66" s="21"/>
      <c r="F66" s="21"/>
      <c r="G66" s="23"/>
      <c r="H66" s="47"/>
      <c r="I66" s="21"/>
    </row>
    <row r="67" spans="2:9" x14ac:dyDescent="0.25">
      <c r="B67" s="21"/>
      <c r="C67" s="31"/>
      <c r="D67" s="22"/>
      <c r="E67" s="21"/>
      <c r="F67" s="21"/>
      <c r="G67" s="23"/>
      <c r="H67" s="47"/>
      <c r="I67" s="21"/>
    </row>
    <row r="68" spans="2:9" x14ac:dyDescent="0.25">
      <c r="D68" s="34"/>
      <c r="H68" s="16">
        <f>SUM(Tabela24[Preço Total])</f>
        <v>4195314.3880812619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2026-10-09T19:07:07Z</dcterms:modified>
</cp:coreProperties>
</file>