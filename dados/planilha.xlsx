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3"/>
  </bookViews>
  <sheets>
    <sheet name="EAP_Cronograma" sheetId="1" r:id="rId1"/>
    <sheet name="DPA IV" sheetId="6" r:id="rId2"/>
    <sheet name=" ABC DPA IV" sheetId="7" r:id="rId3"/>
    <sheet name="Expansão DMP" sheetId="3" r:id="rId4"/>
    <sheet name="Prazo de Execução" sheetId="9" r:id="rId5"/>
    <sheet name="ABC DMP" sheetId="8" r:id="rId6"/>
  </sheets>
  <definedNames>
    <definedName name="_xlnm._FilterDatabase" localSheetId="2" hidden="1">' ABC DPA IV'!$C$4:$G$4</definedName>
    <definedName name="_xlnm._FilterDatabase" localSheetId="5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5" i="3" l="1"/>
  <c r="G6" i="3"/>
  <c r="F35" i="3" l="1"/>
  <c r="G59" i="6"/>
  <c r="G48" i="3" l="1"/>
  <c r="G50" i="3"/>
  <c r="G51" i="3"/>
  <c r="G52" i="3"/>
  <c r="G53" i="3"/>
  <c r="G49" i="3"/>
  <c r="G46" i="3" l="1"/>
  <c r="G47" i="3" l="1"/>
  <c r="H18" i="6"/>
  <c r="H27" i="6"/>
  <c r="H85" i="6"/>
  <c r="H84" i="6"/>
  <c r="H83" i="6"/>
  <c r="D9" i="8" l="1"/>
  <c r="H77" i="6"/>
  <c r="H6" i="6" l="1"/>
  <c r="H86" i="6"/>
  <c r="G17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3" i="3"/>
  <c r="E31" i="6"/>
  <c r="H31" i="6" s="1"/>
  <c r="H35" i="6"/>
  <c r="H36" i="6"/>
  <c r="G12" i="3"/>
  <c r="G9" i="3"/>
  <c r="H29" i="6"/>
  <c r="H30" i="6"/>
  <c r="H32" i="6"/>
  <c r="H33" i="6"/>
  <c r="H34" i="6"/>
  <c r="G15" i="3"/>
  <c r="G14" i="3"/>
  <c r="G13" i="3"/>
  <c r="G11" i="3"/>
  <c r="G10" i="3"/>
  <c r="G8" i="3"/>
  <c r="G33" i="3"/>
  <c r="G34" i="3"/>
  <c r="G35" i="3"/>
  <c r="G16" i="3"/>
  <c r="D7" i="8" s="1"/>
  <c r="G21" i="3"/>
  <c r="H76" i="6"/>
  <c r="D18" i="7" s="1"/>
  <c r="H24" i="6"/>
  <c r="D15" i="8" l="1"/>
  <c r="D17" i="8"/>
  <c r="H26" i="6"/>
  <c r="H23" i="6"/>
  <c r="H22" i="6"/>
  <c r="E38" i="6"/>
  <c r="D18" i="3"/>
  <c r="G18" i="3" s="1"/>
  <c r="G19" i="3"/>
  <c r="D20" i="3"/>
  <c r="G47" i="6"/>
  <c r="F24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7" i="3"/>
  <c r="G7" i="3" s="1"/>
  <c r="D8" i="8" s="1"/>
  <c r="H87" i="6"/>
  <c r="D16" i="7" s="1"/>
  <c r="G54" i="3"/>
  <c r="G56" i="3"/>
  <c r="D19" i="8" s="1"/>
  <c r="G31" i="3"/>
  <c r="G29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5" i="3"/>
  <c r="D11" i="8"/>
  <c r="G26" i="3" l="1"/>
  <c r="D40" i="3"/>
  <c r="G4" i="3"/>
  <c r="D20" i="8" s="1"/>
  <c r="H101" i="6" l="1"/>
  <c r="G39" i="3"/>
  <c r="G38" i="3"/>
  <c r="G37" i="3"/>
  <c r="G36" i="3"/>
  <c r="D18" i="8" s="1"/>
  <c r="G24" i="3"/>
  <c r="G22" i="3"/>
  <c r="D41" i="3"/>
  <c r="D2" i="7" l="1"/>
  <c r="E15" i="7" s="1"/>
  <c r="G20" i="3"/>
  <c r="D14" i="8" s="1"/>
  <c r="G55" i="3"/>
  <c r="D12" i="8" s="1"/>
  <c r="G32" i="3"/>
  <c r="G41" i="3"/>
  <c r="G42" i="3"/>
  <c r="G43" i="3"/>
  <c r="G44" i="3"/>
  <c r="G45" i="3"/>
  <c r="G27" i="3"/>
  <c r="G28" i="3"/>
  <c r="G30" i="3"/>
  <c r="G40" i="3"/>
  <c r="D10" i="8" s="1"/>
  <c r="D13" i="8" l="1"/>
  <c r="E12" i="7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9" i="3"/>
  <c r="H85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l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<sst xmlns="http://schemas.openxmlformats.org/spreadsheetml/2006/main" count="2372" uniqueCount="931">
  <si>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</si>
  <si>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</si>
  <si>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</si>
  <si>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</si>
  <si>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</si>
  <si>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</si>
  <si>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</si>
  <si>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</si>
  <si>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</si>
  <si>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</si>
  <si>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</si>
  <si>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</si>
  <si>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</si>
  <si>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</si>
  <si>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</si>
  <si>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</si>
  <si>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</si>
  <si>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</si>
  <si>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</si>
  <si>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</si>
  <si>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</si>
  <si>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</si>
  <si>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</si>
  <si>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</si>
  <si>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</si>
  <si>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</si>
  <si>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</si>
  <si>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</si>
  <si>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</si>
  <si>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</si>
  <si>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</si>
  <si>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</si>
  <si>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</si>
  <si>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</si>
  <si>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</si>
  <si>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</si>
  <si>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</si>
  <si>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</si>
  <si>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</si>
  <si>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</si>
  <si>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</si>
  <si>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</si>
  <si>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</si>
  <si>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</si>
  <si>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</si>
  <si>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</si>
  <si>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</si>
  <si>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</si>
  <si>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</si>
  <si>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</si>
  <si>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</si>
  <si>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</si>
  <si>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</si>
  <si>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</si>
  <si>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</si>
  <si>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</si>
  <si>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</si>
  <si>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</si>
  <si>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</si>
  <si>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</si>
  <si>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</si>
  <si>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</si>
  <si>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</si>
  <si>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</si>
  <si>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</si>
  <si>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</si>
  <si>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</si>
  <si>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</si>
  <si>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</si>
  <si>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</si>
  <si>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</si>
  <si>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</si>
  <si>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</si>
  <si>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</si>
  <si>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</si>
  <si>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</si>
  <si>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</si>
  <si>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</si>
  <si>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</si>
  <si>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</si>
  <si>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</si>
  <si>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</si>
  <si>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</si>
  <si>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</si>
  <si>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</si>
  <si>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</si>
  <si>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</si>
  <si>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</si>
  <si>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</si>
  <si>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</si>
  <si>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</si>
  <si>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</si>
  <si>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</si>
  <si>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</si>
  <si>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</si>
  <si>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</si>
  <si>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</si>
  <si>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</si>
  <si>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</si>
  <si>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</si>
  <si>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</si>
  <si>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</si>
  <si>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</si>
  <si>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</si>
  <si>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</si>
  <si>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</si>
  <si>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</si>
  <si>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</si>
  <si>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</si>
  <si>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</si>
  <si>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</si>
  <si>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</si>
  <si>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</si>
  <si>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</si>
  <si>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</si>
  <si>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</si>
  <si>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</si>
  <si>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</si>
  <si>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</si>
  <si>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</si>
  <si>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</si>
  <si>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</si>
  <si>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</si>
  <si>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</si>
  <si>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</si>
  <si>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</si>
  <si>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</si>
  <si>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</si>
  <si>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</si>
  <si>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</si>
  <si>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</si>
  <si>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</si>
  <si>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</si>
  <si>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</si>
  <si>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</si>
  <si>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</si>
  <si>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</si>
  <si>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</si>
  <si>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</si>
  <si>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</si>
  <si>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</si>
  <si>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</si>
  <si>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</si>
  <si>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</si>
  <si>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</si>
  <si>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</si>
  <si>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</si>
  <si>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</si>
  <si>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</si>
  <si>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</si>
  <si>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</si>
  <si>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</si>
  <si>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</si>
  <si>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</si>
  <si>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</si>
  <si>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</si>
  <si>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</si>
  <si>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</si>
  <si>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</si>
  <si>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</si>
  <si>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</si>
  <si>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</si>
  <si>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</si>
  <si>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</si>
  <si>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</si>
  <si>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</si>
  <si>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</si>
  <si>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</si>
  <si>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</si>
  <si>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</si>
  <si>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</si>
  <si>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</si>
  <si>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</si>
  <si>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</si>
  <si>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</si>
  <si>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</si>
  <si>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</si>
  <si>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</si>
  <si>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</si>
  <si>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</si>
  <si>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</si>
  <si>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</si>
  <si>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</si>
  <si>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</si>
  <si>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</si>
  <si>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</si>
  <si>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</si>
  <si>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</si>
  <si>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</si>
  <si>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</si>
  <si>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</si>
  <si>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</si>
  <si>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</si>
  <si>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</si>
  <si>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</si>
  <si>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</si>
  <si>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</si>
  <si>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</si>
  <si>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</si>
  <si>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</si>
  <si>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</si>
  <si>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</si>
  <si>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</si>
  <si>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</si>
  <si>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</si>
  <si>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</si>
  <si>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</si>
  <si>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</si>
  <si>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</si>
  <si>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</si>
  <si>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</si>
  <si>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</si>
  <si>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</si>
  <si>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</si>
  <si>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</si>
  <si>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</si>
  <si>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</si>
  <si>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</si>
  <si>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</si>
  <si>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</si>
  <si>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</si>
  <si>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</si>
  <si>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</si>
  <si>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</si>
  <si>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</si>
  <si>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</si>
  <si>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</si>
  <si>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</si>
  <si>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</si>
  <si>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</si>
  <si>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</si>
  <si>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</si>
  <si>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</si>
  <si>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</si>
  <si>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</si>
  <si>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</si>
  <si>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</si>
  <si>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</si>
  <si>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</si>
  <si>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</si>
  <si>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</si>
  <si>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</si>
  <si>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</si>
  <si>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</si>
  <si>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</si>
  <si>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</si>
  <si>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</si>
  <si>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</si>
  <si>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</si>
  <si>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</si>
  <si>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</si>
  <si>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</si>
  <si>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</si>
  <si>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</si>
  <si>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</si>
  <si>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</si>
  <si>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</si>
  <si>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</si>
  <si>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</si>
  <si>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</si>
  <si>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</si>
  <si>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</si>
  <si>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</si>
  <si>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</si>
  <si>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</si>
  <si>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</si>
  <si>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</si>
  <si>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</si>
  <si>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</si>
  <si>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</si>
  <si>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</si>
  <si>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</si>
  <si>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</si>
  <si>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</si>
  <si>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</si>
  <si>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</si>
  <si>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</si>
  <si>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</si>
  <si>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</si>
  <si>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</si>
  <si>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</si>
  <si>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</si>
  <si>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</si>
  <si>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</si>
  <si>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</si>
  <si>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</si>
  <si>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</si>
  <si>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</si>
  <si>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</si>
  <si>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</si>
  <si>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</si>
  <si>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</si>
  <si>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</si>
  <si>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</si>
  <si>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</si>
  <si>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</si>
  <si>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</si>
  <si>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</si>
  <si>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</si>
  <si>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</si>
  <si>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</si>
  <si>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</si>
  <si>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</si>
  <si>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</si>
  <si>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</si>
  <si>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</si>
  <si>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</si>
  <si>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</si>
  <si>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</si>
  <si>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</si>
  <si>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</si>
  <si>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</si>
  <si>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</si>
  <si>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</si>
  <si>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</si>
  <si>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</si>
  <si>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</si>
  <si>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</si>
  <si>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</si>
  <si>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</si>
  <si>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</si>
  <si>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</si>
  <si>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</si>
  <si>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</si>
  <si>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</si>
  <si>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</si>
  <si>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</si>
  <si>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</si>
  <si>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</si>
  <si>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</si>
  <si>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</si>
  <si>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</si>
  <si>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</si>
  <si>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</si>
  <si>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</si>
  <si>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</si>
  <si>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</si>
  <si>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</si>
  <si>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</si>
  <si>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</si>
  <si>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</si>
  <si>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</si>
  <si>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</si>
  <si>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</si>
  <si>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</si>
  <si>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</si>
  <si>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</si>
  <si>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</si>
  <si>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</si>
  <si>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</si>
  <si>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</si>
  <si>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</si>
  <si>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</si>
  <si>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</si>
  <si>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</si>
  <si>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</si>
  <si>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</si>
  <si>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</si>
  <si>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</si>
  <si>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</si>
  <si>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</si>
  <si>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</si>
  <si>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</si>
  <si>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</si>
  <si>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</si>
  <si>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</si>
  <si>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</si>
  <si>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</si>
  <si>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</si>
  <si>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</si>
  <si>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</si>
  <si>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</si>
  <si>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</si>
  <si>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</si>
  <si>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</si>
  <si>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</si>
  <si>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</si>
  <si>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</si>
  <si>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</si>
  <si>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</si>
  <si>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</si>
  <si>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</si>
  <si>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</si>
  <si>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</si>
  <si>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</si>
  <si>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</si>
  <si>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</si>
  <si>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</si>
  <si>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</si>
  <si>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</si>
  <si>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</si>
  <si>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</si>
  <si>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</si>
  <si>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</si>
  <si>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</si>
  <si>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</si>
  <si>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</si>
  <si>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</si>
  <si>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</si>
  <si>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</si>
  <si>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</si>
  <si>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</si>
  <si>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</si>
  <si>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</si>
  <si>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</si>
  <si>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</si>
  <si>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</si>
  <si>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</si>
  <si>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</si>
  <si>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</si>
  <si>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</si>
  <si>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</si>
  <si>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</si>
  <si>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</si>
  <si>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</si>
  <si>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</si>
  <si>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</si>
  <si>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</si>
  <si>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</si>
  <si>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</si>
  <si>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</si>
  <si>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</si>
  <si>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</si>
  <si>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</si>
  <si>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</si>
  <si>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</si>
  <si>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</si>
  <si>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</si>
  <si>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</si>
  <si>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</si>
  <si>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</si>
  <si>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</si>
  <si>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</si>
  <si>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</si>
  <si>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</si>
  <si>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</si>
  <si>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</si>
  <si>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</si>
  <si>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</si>
  <si>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</si>
  <si>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</si>
  <si>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</si>
  <si>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</si>
  <si>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</si>
  <si>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</si>
  <si>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</si>
  <si>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</si>
  <si>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</si>
  <si>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</si>
  <si>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</si>
  <si>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</si>
  <si>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</si>
  <si>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</si>
  <si>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</si>
  <si>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</si>
  <si>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</si>
  <si>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</si>
  <si>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</si>
  <si>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</si>
  <si>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</si>
  <si>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</si>
  <si>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</si>
  <si>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</si>
  <si>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</si>
  <si>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</si>
  <si>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</si>
  <si>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</si>
  <si>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</si>
  <si>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</si>
  <si>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</si>
  <si>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</si>
  <si>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</si>
  <si>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</si>
  <si>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</si>
  <si>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</si>
  <si>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</si>
  <si>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</si>
  <si>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</si>
  <si>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</si>
  <si>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</si>
  <si>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</si>
  <si>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</si>
  <si>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</si>
  <si>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</si>
  <si>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</si>
  <si>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</si>
  <si>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</si>
  <si>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</si>
  <si>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</si>
  <si>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</si>
  <si>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</si>
  <si>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</si>
  <si>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</si>
  <si>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</si>
  <si>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</si>
  <si>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</si>
  <si>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</si>
  <si>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</si>
  <si>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</si>
  <si>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</si>
  <si>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</si>
  <si>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</si>
  <si>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</si>
  <si>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</si>
  <si>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</si>
  <si>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</si>
  <si>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</si>
  <si>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</si>
  <si>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</si>
  <si>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</si>
  <si>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</si>
  <si>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</si>
  <si>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</si>
  <si>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</si>
  <si>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</si>
  <si>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</si>
  <si>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</si>
  <si>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</si>
  <si>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</si>
  <si>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</si>
  <si>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</si>
  <si>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</si>
  <si>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</si>
  <si>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</si>
  <si>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</si>
  <si>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</si>
  <si>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</si>
  <si>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</si>
  <si>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</si>
  <si>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</si>
  <si>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</si>
  <si>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</si>
  <si>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</si>
  <si>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</si>
  <si>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</si>
  <si>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</si>
  <si>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</si>
  <si>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</si>
  <si>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</si>
  <si>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</si>
  <si>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</si>
  <si>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</si>
  <si>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</si>
  <si>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</si>
  <si>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</si>
  <si>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</si>
  <si>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</si>
  <si>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</si>
  <si>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</si>
  <si>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</si>
  <si>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</si>
  <si>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</si>
  <si>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</si>
  <si>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</si>
  <si>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</si>
  <si>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</si>
  <si>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</si>
  <si>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</si>
  <si>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</si>
  <si>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</si>
  <si>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</si>
  <si>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</si>
  <si>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</si>
  <si>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</si>
  <si>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</si>
  <si>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</si>
  <si>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</si>
  <si>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</si>
  <si>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</si>
  <si>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</si>
  <si>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</si>
  <si>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</si>
  <si>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</si>
  <si>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</si>
  <si>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</si>
  <si>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</si>
  <si>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</si>
  <si>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</si>
  <si>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</si>
  <si>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</si>
  <si>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</si>
  <si>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</si>
  <si>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</si>
  <si>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</si>
  <si>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</si>
  <si>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</si>
  <si>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</si>
  <si>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</si>
  <si>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</si>
  <si>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</si>
  <si>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</si>
  <si>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</si>
  <si>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</si>
  <si>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</si>
  <si>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</si>
  <si>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</si>
  <si>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</si>
  <si>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</si>
  <si>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</si>
  <si>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</si>
  <si>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</si>
  <si>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</si>
  <si>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</si>
  <si>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</si>
  <si>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</si>
  <si>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</si>
  <si>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</si>
  <si>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</si>
  <si>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</si>
  <si>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</si>
  <si>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</si>
  <si>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</si>
  <si>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</si>
  <si>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</si>
  <si>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</si>
  <si>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</si>
  <si>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</si>
  <si>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</si>
  <si>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</si>
  <si>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</si>
  <si>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</si>
  <si>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</si>
  <si>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</si>
  <si>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</si>
  <si>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</si>
  <si>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</si>
  <si>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</si>
  <si>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</si>
  <si>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</si>
  <si>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</si>
  <si>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</si>
  <si>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</si>
  <si>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</si>
  <si>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</si>
  <si>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</si>
  <si>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</si>
  <si>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</si>
  <si>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</si>
  <si>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</si>
  <si>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</si>
  <si>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</si>
  <si>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</si>
  <si>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</si>
  <si>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</si>
  <si>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</si>
  <si>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</si>
  <si>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</si>
  <si>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</si>
  <si>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</si>
  <si>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</si>
  <si>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</si>
  <si>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</si>
  <si>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</si>
  <si>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</si>
  <si>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</si>
  <si>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</si>
  <si>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</si>
  <si>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</si>
  <si>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</si>
  <si>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</si>
  <si>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</si>
  <si>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</si>
  <si>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</si>
  <si>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</si>
  <si>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</si>
  <si>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</si>
  <si>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</si>
  <si>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</si>
  <si>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</si>
  <si>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</si>
  <si>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</si>
  <si>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</si>
  <si>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</si>
  <si>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</si>
  <si>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</si>
  <si>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</si>
  <si>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</si>
  <si>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</si>
  <si>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</si>
  <si>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</si>
  <si>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</si>
  <si>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</si>
  <si>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</si>
  <si>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</si>
  <si>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</si>
  <si>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</si>
  <si>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</si>
  <si>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</si>
  <si>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</si>
  <si>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</si>
  <si>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</si>
  <si>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</si>
  <si>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</si>
  <si>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</si>
  <si>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</si>
  <si>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</si>
  <si>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</si>
  <si>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</si>
  <si>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</si>
  <si>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</si>
  <si>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</si>
  <si>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</si>
  <si>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</si>
  <si>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</si>
  <si>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</si>
  <si>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</si>
  <si>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</si>
  <si>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</si>
  <si>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</si>
  <si>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</si>
  <si>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</si>
  <si>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</si>
  <si>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</si>
  <si>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</si>
  <si>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</si>
  <si>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</si>
  <si>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</si>
  <si>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</si>
  <si>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</si>
  <si>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</si>
  <si>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</si>
  <si>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</si>
  <si>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</si>
  <si>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</si>
  <si>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</si>
  <si>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</si>
  <si>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</si>
  <si>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</si>
  <si>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</si>
  <si>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</si>
  <si>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</si>
  <si>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</si>
  <si>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</si>
  <si>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</si>
  <si>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</si>
  <si>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</si>
  <si>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</si>
  <si>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</si>
  <si>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</si>
  <si>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</si>
  <si>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</si>
  <si>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</si>
  <si>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</si>
  <si>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</si>
  <si>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</si>
  <si>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</si>
  <si>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</si>
  <si>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</si>
  <si>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</si>
  <si>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</si>
  <si>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</si>
  <si>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</si>
  <si>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</si>
  <si>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</si>
  <si>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</si>
  <si>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</si>
  <si>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</si>
  <si>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</si>
  <si>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</si>
  <si>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</si>
  <si>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</si>
  <si>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</si>
  <si>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</si>
  <si>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</si>
  <si>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</si>
  <si>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</si>
  <si>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</si>
  <si>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</si>
  <si>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</si>
  <si>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</si>
  <si>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</si>
  <si>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</si>
  <si>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</si>
  <si>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</si>
  <si>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</si>
  <si>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</si>
  <si>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</si>
  <si>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</si>
  <si>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</si>
  <si>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</si>
  <si>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</si>
  <si>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</si>
  <si>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</si>
  <si>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</si>
  <si>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</si>
  <si>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</si>
  <si>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</si>
  <si>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</si>
  <si>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</si>
  <si>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</si>
  <si>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</si>
  <si>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</si>
  <si>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</si>
  <si>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</si>
  <si>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</si>
  <si>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</si>
  <si>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</si>
  <si>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</si>
  <si>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</si>
  <si>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</si>
  <si>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</si>
  <si>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</si>
  <si>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</si>
  <si>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</si>
  <si>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</si>
  <si>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</si>
  <si>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</si>
  <si>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</si>
  <si>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</si>
  <si>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</si>
  <si>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</si>
  <si>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</si>
  <si>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</si>
  <si>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</si>
  <si>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</si>
  <si>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</si>
  <si>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</si>
  <si>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</si>
  <si>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</si>
  <si>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</si>
  <si>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</si>
  <si>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</si>
  <si>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</si>
  <si>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</si>
  <si>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</si>
  <si>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</si>
  <si>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</si>
  <si>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</si>
  <si>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</si>
  <si>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</si>
  <si>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</si>
  <si>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</si>
  <si>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</si>
  <si>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</si>
  <si>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</si>
  <si>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</si>
  <si>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</si>
  <si>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</si>
  <si>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</si>
  <si>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</si>
  <si>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</si>
  <si>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</si>
  <si>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</si>
  <si>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</si>
  <si>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</si>
  <si>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</si>
  <si>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</si>
  <si>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</si>
  <si>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</si>
  <si>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</si>
  <si>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</si>
  <si>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</si>
  <si>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</si>
  <si>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</si>
  <si>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</si>
  <si>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</si>
  <si>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</si>
  <si>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</si>
  <si>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</si>
  <si>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</si>
  <si>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</si>
  <si>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</si>
  <si>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</si>
  <si>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</si>
  <si>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</si>
  <si>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</si>
  <si>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</si>
  <si>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</si>
  <si>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</si>
  <si>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</si>
  <si>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</si>
  <si>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</si>
  <si>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</si>
  <si>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</si>
  <si>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</si>
  <si>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</si>
  <si>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</si>
  <si>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</si>
  <si>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</si>
  <si>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</si>
  <si>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</si>
  <si>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</si>
  <si>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</si>
  <si>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</si>
  <si>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</si>
  <si>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</si>
  <si>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</si>
  <si>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</si>
  <si>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</si>
  <si>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</si>
  <si>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</si>
  <si>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</si>
  <si>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</si>
  <si>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</si>
  <si>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</si>
  <si>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</si>
  <si>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</si>
  <si>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</si>
  <si>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</si>
  <si>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</si>
  <si>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</si>
  <si>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</si>
  <si>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</si>
  <si>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</si>
  <si>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</si>
  <si>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</si>
  <si>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</si>
  <si>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</si>
  <si>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</si>
  <si>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</si>
  <si>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</si>
  <si>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</si>
  <si>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</si>
  <si>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</si>
  <si>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</si>
  <si>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</si>
  <si>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</si>
  <si>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</si>
  <si>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</si>
  <si>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</si>
  <si>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</si>
  <si>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</si>
  <si>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</si>
  <si>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</si>
  <si>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</si>
  <si>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</si>
  <si>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</si>
  <si>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</si>
  <si>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</si>
  <si>
    <t>Montagem da estrutura</t>
  </si>
  <si>
    <t>Frete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</si>
</sst>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3" name="Tabela24" displayName="Tabela24" ref="B1:J98" totalsRowShown="0" headerRowDxfId="20" dataDxfId="19">
  <autoFilter ref="B1:J98"/>
  <sortState ref="B2:J98">
    <sortCondition ref="I1:I98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6" totalsRowShown="0" headerRowDxfId="9" dataDxfId="8">
  <autoFilter ref="B3:I56"/>
  <sortState ref="B4:H53">
    <sortCondition ref="H3:H53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5"/>
  <sheetViews>
    <sheetView showGridLines="0" zoomScale="85" zoomScaleNormal="85" workbookViewId="0">
      <pane ySplit="1" topLeftCell="A71" activePane="bottomLeft" state="frozen"/>
      <selection activeCell="C1" sqref="C1"/>
      <selection pane="bottomLeft" activeCell="H106" sqref="H106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50" t="s">
        <v>819</v>
      </c>
      <c r="E3" s="17">
        <v>1</v>
      </c>
      <c r="F3" s="17" t="s">
        <v>760</v>
      </c>
      <c r="G3" s="44">
        <v>486032</v>
      </c>
      <c r="H3" s="44">
        <f t="shared" si="0"/>
        <v>486032</v>
      </c>
      <c r="I3" s="31" t="s">
        <v>920</v>
      </c>
      <c r="J3" s="27"/>
      <c r="K3" s="27"/>
    </row>
    <row r="4" spans="2:12" x14ac:dyDescent="0.25">
      <c r="B4" s="17">
        <v>3</v>
      </c>
      <c r="C4" s="17"/>
      <c r="D4" s="50" t="s">
        <v>821</v>
      </c>
      <c r="E4" s="17">
        <v>1</v>
      </c>
      <c r="F4" s="17" t="s">
        <v>760</v>
      </c>
      <c r="G4" s="44">
        <v>8650</v>
      </c>
      <c r="H4" s="44">
        <f t="shared" si="0"/>
        <v>8650</v>
      </c>
      <c r="I4" s="31" t="s">
        <v>920</v>
      </c>
      <c r="J4" s="27"/>
      <c r="K4" s="27"/>
    </row>
    <row r="5" spans="2:12" x14ac:dyDescent="0.25">
      <c r="B5" s="17">
        <v>4</v>
      </c>
      <c r="C5" s="17"/>
      <c r="D5" s="50" t="s">
        <v>820</v>
      </c>
      <c r="E5" s="17">
        <v>6</v>
      </c>
      <c r="F5" s="17" t="s">
        <v>760</v>
      </c>
      <c r="G5" s="44">
        <v>21938</v>
      </c>
      <c r="H5" s="44">
        <f t="shared" si="0"/>
        <v>131628</v>
      </c>
      <c r="I5" s="17" t="s">
        <v>835</v>
      </c>
      <c r="J5" s="27"/>
      <c r="K5" s="27"/>
    </row>
    <row r="6" spans="2:12" x14ac:dyDescent="0.25">
      <c r="B6" s="17">
        <v>5</v>
      </c>
      <c r="C6" s="17"/>
      <c r="D6" s="50" t="s">
        <v>899</v>
      </c>
      <c r="E6" s="17">
        <v>1</v>
      </c>
      <c r="F6" s="17" t="s">
        <v>760</v>
      </c>
      <c r="G6" s="44">
        <v>11180</v>
      </c>
      <c r="H6" s="44">
        <f t="shared" si="0"/>
        <v>11180</v>
      </c>
      <c r="I6" s="17" t="s">
        <v>835</v>
      </c>
      <c r="J6" s="27"/>
      <c r="K6" s="27"/>
    </row>
    <row r="7" spans="2:12" x14ac:dyDescent="0.25">
      <c r="B7" s="17">
        <v>6</v>
      </c>
      <c r="C7" s="17"/>
      <c r="D7" s="19" t="s">
        <v>889</v>
      </c>
      <c r="E7" s="17">
        <v>250</v>
      </c>
      <c r="F7" s="17" t="s">
        <v>761</v>
      </c>
      <c r="G7" s="44">
        <v>55.57</v>
      </c>
      <c r="H7" s="44">
        <f t="shared" si="0"/>
        <v>13892.5</v>
      </c>
      <c r="I7" s="17" t="s">
        <v>835</v>
      </c>
      <c r="J7" s="27"/>
      <c r="K7" s="27"/>
    </row>
    <row r="8" spans="2:12" x14ac:dyDescent="0.25">
      <c r="B8" s="17">
        <v>7</v>
      </c>
      <c r="C8" s="18"/>
      <c r="D8" s="19" t="s">
        <v>888</v>
      </c>
      <c r="E8" s="18">
        <v>6</v>
      </c>
      <c r="F8" s="18" t="s">
        <v>760</v>
      </c>
      <c r="G8" s="25">
        <v>13855.22</v>
      </c>
      <c r="H8" s="51">
        <f t="shared" si="0"/>
        <v>83131.319999999992</v>
      </c>
      <c r="I8" s="17" t="s">
        <v>835</v>
      </c>
      <c r="J8" s="27"/>
      <c r="K8" s="27"/>
    </row>
    <row r="9" spans="2:12" x14ac:dyDescent="0.25">
      <c r="B9" s="17">
        <v>8</v>
      </c>
      <c r="C9" s="18"/>
      <c r="D9" s="19" t="s">
        <v>886</v>
      </c>
      <c r="E9" s="18">
        <v>1</v>
      </c>
      <c r="F9" s="18" t="s">
        <v>760</v>
      </c>
      <c r="G9" s="25">
        <v>111260.98</v>
      </c>
      <c r="H9" s="51">
        <f t="shared" si="0"/>
        <v>111260.98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887</v>
      </c>
      <c r="E10" s="18">
        <v>300</v>
      </c>
      <c r="F10" s="18" t="s">
        <v>761</v>
      </c>
      <c r="G10" s="25">
        <v>55.57</v>
      </c>
      <c r="H10" s="51">
        <f t="shared" si="0"/>
        <v>16671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838</v>
      </c>
      <c r="E11" s="18">
        <v>1</v>
      </c>
      <c r="F11" s="18" t="s">
        <v>760</v>
      </c>
      <c r="G11" s="25">
        <v>27412.5</v>
      </c>
      <c r="H11" s="51">
        <f t="shared" si="0"/>
        <v>27412.5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757</v>
      </c>
      <c r="E12" s="52">
        <f>(1075*0.15)*1.1</f>
        <v>177.37500000000003</v>
      </c>
      <c r="F12" s="18" t="s">
        <v>759</v>
      </c>
      <c r="G12" s="25">
        <v>670</v>
      </c>
      <c r="H12" s="25">
        <f t="shared" si="0"/>
        <v>118841.25000000001</v>
      </c>
      <c r="I12" s="18" t="s">
        <v>835</v>
      </c>
      <c r="J12" s="27"/>
      <c r="K12" s="27"/>
    </row>
    <row r="13" spans="2:12" x14ac:dyDescent="0.25">
      <c r="B13" s="17">
        <v>12</v>
      </c>
      <c r="C13" s="18"/>
      <c r="D13" s="50" t="s">
        <v>775</v>
      </c>
      <c r="E13" s="52">
        <f>1075/13*2</f>
        <v>165.38461538461539</v>
      </c>
      <c r="F13" s="18" t="s">
        <v>760</v>
      </c>
      <c r="G13" s="25">
        <v>220.5</v>
      </c>
      <c r="H13" s="25">
        <f t="shared" si="0"/>
        <v>36467.307692307695</v>
      </c>
      <c r="I13" s="18" t="s">
        <v>835</v>
      </c>
      <c r="J13" s="27"/>
      <c r="K13" s="27"/>
    </row>
    <row r="14" spans="2:12" x14ac:dyDescent="0.25">
      <c r="B14" s="17">
        <v>13</v>
      </c>
      <c r="C14" s="18"/>
      <c r="D14" s="50" t="s">
        <v>758</v>
      </c>
      <c r="E14" s="52">
        <f>(20*53)/12</f>
        <v>88.333333333333329</v>
      </c>
      <c r="F14" s="18" t="s">
        <v>760</v>
      </c>
      <c r="G14" s="25">
        <v>56.2</v>
      </c>
      <c r="H14" s="25">
        <f t="shared" si="0"/>
        <v>4964.333333333333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792</v>
      </c>
      <c r="E15" s="52">
        <f>E12</f>
        <v>177.37500000000003</v>
      </c>
      <c r="F15" s="18" t="s">
        <v>760</v>
      </c>
      <c r="G15" s="25">
        <v>50</v>
      </c>
      <c r="H15" s="25">
        <f t="shared" si="0"/>
        <v>8868.7500000000018</v>
      </c>
      <c r="I15" s="18" t="s">
        <v>835</v>
      </c>
      <c r="J15" s="27"/>
      <c r="K15" s="27"/>
    </row>
    <row r="16" spans="2:12" x14ac:dyDescent="0.25">
      <c r="B16" s="17">
        <v>15</v>
      </c>
      <c r="C16" s="17"/>
      <c r="D16" s="19" t="s">
        <v>839</v>
      </c>
      <c r="E16" s="18">
        <v>1</v>
      </c>
      <c r="F16" s="18" t="s">
        <v>760</v>
      </c>
      <c r="G16" s="25">
        <v>67000</v>
      </c>
      <c r="H16" s="25">
        <f t="shared" si="0"/>
        <v>67000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19" t="s">
        <v>884</v>
      </c>
      <c r="E17" s="18">
        <v>1</v>
      </c>
      <c r="F17" s="18" t="s">
        <v>760</v>
      </c>
      <c r="G17" s="25">
        <v>48600</v>
      </c>
      <c r="H17" s="51">
        <f t="shared" si="0"/>
        <v>48600</v>
      </c>
      <c r="I17" s="18" t="s">
        <v>835</v>
      </c>
      <c r="J17" s="27"/>
      <c r="K17" s="27"/>
    </row>
    <row r="18" spans="2:12" x14ac:dyDescent="0.25">
      <c r="B18" s="17"/>
      <c r="C18" s="18"/>
      <c r="D18" s="19" t="s">
        <v>918</v>
      </c>
      <c r="E18" s="18">
        <v>1</v>
      </c>
      <c r="F18" s="18" t="s">
        <v>760</v>
      </c>
      <c r="G18" s="25">
        <v>48600</v>
      </c>
      <c r="H18" s="51">
        <f t="shared" si="0"/>
        <v>48600</v>
      </c>
      <c r="I18" s="18" t="s">
        <v>835</v>
      </c>
      <c r="J18" s="27"/>
      <c r="K18" s="27"/>
    </row>
    <row r="19" spans="2:12" x14ac:dyDescent="0.25">
      <c r="B19" s="17">
        <v>17</v>
      </c>
      <c r="C19" s="18"/>
      <c r="D19" s="19" t="s">
        <v>885</v>
      </c>
      <c r="E19" s="18">
        <v>50</v>
      </c>
      <c r="F19" s="18" t="s">
        <v>760</v>
      </c>
      <c r="G19" s="25">
        <v>243.39</v>
      </c>
      <c r="H19" s="51">
        <f t="shared" si="0"/>
        <v>12169.5</v>
      </c>
      <c r="I19" s="18" t="s">
        <v>835</v>
      </c>
      <c r="J19" s="27"/>
      <c r="K19" s="27"/>
    </row>
    <row r="20" spans="2:12" x14ac:dyDescent="0.25">
      <c r="B20" s="17">
        <v>18</v>
      </c>
      <c r="C20" s="18"/>
      <c r="D20" s="19" t="s">
        <v>880</v>
      </c>
      <c r="E20" s="18">
        <f>44*4</f>
        <v>176</v>
      </c>
      <c r="F20" s="18" t="s">
        <v>760</v>
      </c>
      <c r="G20" s="25">
        <v>38.119999999999997</v>
      </c>
      <c r="H20" s="51">
        <f t="shared" si="0"/>
        <v>6709.12</v>
      </c>
      <c r="I20" s="18" t="s">
        <v>835</v>
      </c>
      <c r="J20" s="27"/>
      <c r="K20" s="27"/>
    </row>
    <row r="21" spans="2:12" x14ac:dyDescent="0.25">
      <c r="B21" s="17">
        <v>19</v>
      </c>
      <c r="C21" s="18"/>
      <c r="D21" s="19" t="s">
        <v>824</v>
      </c>
      <c r="E21" s="18">
        <v>10</v>
      </c>
      <c r="F21" s="18" t="s">
        <v>760</v>
      </c>
      <c r="G21" s="25">
        <v>24</v>
      </c>
      <c r="H21" s="51">
        <f t="shared" si="0"/>
        <v>240</v>
      </c>
      <c r="I21" s="18" t="s">
        <v>835</v>
      </c>
      <c r="J21" s="27"/>
      <c r="K21" s="27"/>
      <c r="L21" s="24" t="s">
        <v>890</v>
      </c>
    </row>
    <row r="22" spans="2:12" x14ac:dyDescent="0.25">
      <c r="B22" s="17">
        <v>21</v>
      </c>
      <c r="C22" s="18" t="s">
        <v>877</v>
      </c>
      <c r="D22" s="19" t="s">
        <v>876</v>
      </c>
      <c r="E22" s="18">
        <v>36</v>
      </c>
      <c r="F22" s="18" t="s">
        <v>760</v>
      </c>
      <c r="G22" s="25">
        <v>243.39</v>
      </c>
      <c r="H22" s="51">
        <f t="shared" si="0"/>
        <v>8762.0399999999991</v>
      </c>
      <c r="I22" s="18" t="s">
        <v>835</v>
      </c>
      <c r="J22" s="27"/>
      <c r="K22" s="27"/>
    </row>
    <row r="23" spans="2:12" x14ac:dyDescent="0.25">
      <c r="B23" s="17">
        <v>22</v>
      </c>
      <c r="C23" s="18" t="s">
        <v>877</v>
      </c>
      <c r="D23" s="19" t="s">
        <v>856</v>
      </c>
      <c r="E23" s="18">
        <v>72</v>
      </c>
      <c r="F23" s="18" t="s">
        <v>761</v>
      </c>
      <c r="G23" s="25">
        <v>38.119999999999997</v>
      </c>
      <c r="H23" s="51">
        <f t="shared" si="0"/>
        <v>2744.64</v>
      </c>
      <c r="I23" s="18" t="s">
        <v>835</v>
      </c>
      <c r="J23" s="27"/>
      <c r="K23" s="27"/>
    </row>
    <row r="24" spans="2:12" x14ac:dyDescent="0.25">
      <c r="B24" s="17">
        <v>23</v>
      </c>
      <c r="C24" s="18" t="s">
        <v>877</v>
      </c>
      <c r="D24" s="19" t="s">
        <v>778</v>
      </c>
      <c r="E24" s="18">
        <v>36</v>
      </c>
      <c r="F24" s="18" t="s">
        <v>761</v>
      </c>
      <c r="G24" s="25">
        <v>32</v>
      </c>
      <c r="H24" s="51">
        <f t="shared" si="0"/>
        <v>1152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871</v>
      </c>
      <c r="E25" s="18">
        <v>4</v>
      </c>
      <c r="F25" s="18" t="s">
        <v>760</v>
      </c>
      <c r="G25" s="25">
        <v>419</v>
      </c>
      <c r="H25" s="51">
        <f t="shared" si="0"/>
        <v>1676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857</v>
      </c>
      <c r="E26" s="18">
        <f>8*6</f>
        <v>48</v>
      </c>
      <c r="F26" s="18" t="s">
        <v>761</v>
      </c>
      <c r="G26" s="25">
        <v>38.119999999999997</v>
      </c>
      <c r="H26" s="51">
        <f t="shared" si="0"/>
        <v>1829.7599999999998</v>
      </c>
      <c r="I26" s="18" t="s">
        <v>835</v>
      </c>
      <c r="J26" s="27"/>
      <c r="K26" s="27"/>
    </row>
    <row r="27" spans="2:12" x14ac:dyDescent="0.25">
      <c r="B27" s="17">
        <v>26</v>
      </c>
      <c r="C27" s="17"/>
      <c r="D27" s="19" t="s">
        <v>917</v>
      </c>
      <c r="E27" s="18">
        <v>2</v>
      </c>
      <c r="F27" s="18" t="s">
        <v>760</v>
      </c>
      <c r="G27" s="25">
        <v>65000</v>
      </c>
      <c r="H27" s="25">
        <f t="shared" si="0"/>
        <v>130000</v>
      </c>
      <c r="I27" s="18" t="s">
        <v>835</v>
      </c>
      <c r="J27" s="27"/>
      <c r="K27" s="27"/>
    </row>
    <row r="28" spans="2:12" x14ac:dyDescent="0.25">
      <c r="B28" s="17">
        <v>27</v>
      </c>
      <c r="C28" s="17" t="s">
        <v>878</v>
      </c>
      <c r="D28" s="50" t="s">
        <v>861</v>
      </c>
      <c r="E28" s="17">
        <v>58</v>
      </c>
      <c r="F28" s="17" t="s">
        <v>881</v>
      </c>
      <c r="G28" s="44">
        <v>198.72</v>
      </c>
      <c r="H28" s="44">
        <f t="shared" si="0"/>
        <v>11525.76</v>
      </c>
      <c r="I28" s="17" t="s">
        <v>868</v>
      </c>
      <c r="J28" s="27"/>
      <c r="K28" s="27"/>
    </row>
    <row r="29" spans="2:12" x14ac:dyDescent="0.25">
      <c r="B29" s="17">
        <v>28</v>
      </c>
      <c r="C29" s="17" t="s">
        <v>879</v>
      </c>
      <c r="D29" s="50" t="s">
        <v>864</v>
      </c>
      <c r="E29" s="17">
        <v>31</v>
      </c>
      <c r="F29" s="17" t="s">
        <v>881</v>
      </c>
      <c r="G29" s="44">
        <v>484.24</v>
      </c>
      <c r="H29" s="44">
        <f t="shared" si="0"/>
        <v>15011.44</v>
      </c>
      <c r="I29" s="17" t="s">
        <v>868</v>
      </c>
      <c r="J29" s="27"/>
      <c r="K29" s="27"/>
    </row>
    <row r="30" spans="2:12" x14ac:dyDescent="0.25">
      <c r="B30" s="17">
        <v>29</v>
      </c>
      <c r="C30" s="17" t="s">
        <v>879</v>
      </c>
      <c r="D30" s="50" t="s">
        <v>867</v>
      </c>
      <c r="E30" s="17">
        <v>28</v>
      </c>
      <c r="F30" s="17" t="s">
        <v>760</v>
      </c>
      <c r="G30" s="44">
        <v>703.93</v>
      </c>
      <c r="H30" s="44">
        <f t="shared" si="0"/>
        <v>19710.039999999997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878</v>
      </c>
      <c r="D31" s="50" t="s">
        <v>862</v>
      </c>
      <c r="E31" s="17">
        <f>28*3</f>
        <v>84</v>
      </c>
      <c r="F31" s="17" t="s">
        <v>760</v>
      </c>
      <c r="G31" s="44">
        <v>49.05</v>
      </c>
      <c r="H31" s="44">
        <f t="shared" si="0"/>
        <v>4120.2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865</v>
      </c>
      <c r="E32" s="17">
        <v>3</v>
      </c>
      <c r="F32" s="17" t="s">
        <v>760</v>
      </c>
      <c r="G32" s="44">
        <v>151.19999999999999</v>
      </c>
      <c r="H32" s="44">
        <f t="shared" si="0"/>
        <v>453.59999999999997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879</v>
      </c>
      <c r="D33" s="50" t="s">
        <v>866</v>
      </c>
      <c r="E33" s="17">
        <v>2</v>
      </c>
      <c r="F33" s="17" t="s">
        <v>760</v>
      </c>
      <c r="G33" s="44">
        <v>48.38</v>
      </c>
      <c r="H33" s="44">
        <f t="shared" si="0"/>
        <v>96.76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878</v>
      </c>
      <c r="D34" s="50" t="s">
        <v>863</v>
      </c>
      <c r="E34" s="17">
        <v>30</v>
      </c>
      <c r="F34" s="17" t="s">
        <v>760</v>
      </c>
      <c r="G34" s="44">
        <v>27.14</v>
      </c>
      <c r="H34" s="44">
        <f t="shared" ref="H34:H65" si="1">G34*E34</f>
        <v>814.2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882</v>
      </c>
      <c r="D35" s="50" t="s">
        <v>869</v>
      </c>
      <c r="E35" s="17">
        <v>12</v>
      </c>
      <c r="F35" s="17" t="s">
        <v>881</v>
      </c>
      <c r="G35" s="44">
        <v>703.93</v>
      </c>
      <c r="H35" s="44">
        <f t="shared" si="1"/>
        <v>8447.16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882</v>
      </c>
      <c r="D36" s="50" t="s">
        <v>870</v>
      </c>
      <c r="E36" s="17">
        <f>78/6</f>
        <v>13</v>
      </c>
      <c r="F36" s="17" t="s">
        <v>881</v>
      </c>
      <c r="G36" s="44">
        <v>484.24</v>
      </c>
      <c r="H36" s="44">
        <f t="shared" si="1"/>
        <v>6295.12</v>
      </c>
      <c r="I36" s="17" t="s">
        <v>868</v>
      </c>
      <c r="J36" s="27"/>
      <c r="K36" s="27"/>
    </row>
    <row r="37" spans="2:12" x14ac:dyDescent="0.25">
      <c r="B37" s="17">
        <v>36</v>
      </c>
      <c r="C37" s="18"/>
      <c r="D37" s="19" t="s">
        <v>883</v>
      </c>
      <c r="E37" s="18">
        <v>1</v>
      </c>
      <c r="F37" s="18" t="s">
        <v>760</v>
      </c>
      <c r="G37" s="25">
        <v>37375</v>
      </c>
      <c r="H37" s="51">
        <f t="shared" si="1"/>
        <v>37375</v>
      </c>
      <c r="I37" s="18" t="s">
        <v>868</v>
      </c>
      <c r="J37" s="27"/>
      <c r="K37" s="27"/>
    </row>
    <row r="38" spans="2:12" x14ac:dyDescent="0.25">
      <c r="B38" s="17">
        <v>37</v>
      </c>
      <c r="C38" s="17"/>
      <c r="D38" s="50" t="s">
        <v>805</v>
      </c>
      <c r="E38" s="17">
        <f>54*2</f>
        <v>108</v>
      </c>
      <c r="F38" s="17" t="s">
        <v>760</v>
      </c>
      <c r="G38" s="44">
        <v>243.39</v>
      </c>
      <c r="H38" s="44">
        <f t="shared" si="1"/>
        <v>26286.12</v>
      </c>
      <c r="I38" s="17" t="s">
        <v>806</v>
      </c>
      <c r="J38" s="27"/>
      <c r="K38" s="27"/>
      <c r="L38" s="14"/>
    </row>
    <row r="39" spans="2:12" x14ac:dyDescent="0.25">
      <c r="B39" s="17">
        <v>38</v>
      </c>
      <c r="C39" s="17"/>
      <c r="D39" s="50" t="s">
        <v>807</v>
      </c>
      <c r="E39" s="17">
        <v>30</v>
      </c>
      <c r="F39" s="17" t="s">
        <v>760</v>
      </c>
      <c r="G39" s="44">
        <v>119.7</v>
      </c>
      <c r="H39" s="44">
        <f t="shared" si="1"/>
        <v>3591</v>
      </c>
      <c r="I39" s="17" t="s">
        <v>806</v>
      </c>
      <c r="J39" s="27"/>
      <c r="K39" s="27"/>
    </row>
    <row r="40" spans="2:12" x14ac:dyDescent="0.25">
      <c r="B40" s="17">
        <v>39</v>
      </c>
      <c r="C40" s="17"/>
      <c r="D40" s="50" t="s">
        <v>804</v>
      </c>
      <c r="E40" s="18">
        <v>390</v>
      </c>
      <c r="F40" s="17" t="s">
        <v>761</v>
      </c>
      <c r="G40" s="44">
        <v>38.116666600000002</v>
      </c>
      <c r="H40" s="44">
        <f t="shared" si="1"/>
        <v>14865.499974</v>
      </c>
      <c r="I40" s="17" t="s">
        <v>806</v>
      </c>
      <c r="J40" s="27"/>
      <c r="K40" s="27"/>
    </row>
    <row r="41" spans="2:12" x14ac:dyDescent="0.25">
      <c r="B41" s="17">
        <v>40</v>
      </c>
      <c r="C41" s="17"/>
      <c r="D41" s="50" t="s">
        <v>805</v>
      </c>
      <c r="E41" s="53">
        <f>(84*1.02)*2*1.02</f>
        <v>174.78720000000001</v>
      </c>
      <c r="F41" s="17" t="s">
        <v>760</v>
      </c>
      <c r="G41" s="44">
        <v>243.39</v>
      </c>
      <c r="H41" s="44">
        <f t="shared" si="1"/>
        <v>42541.456608</v>
      </c>
      <c r="I41" s="17" t="s">
        <v>774</v>
      </c>
      <c r="J41" s="27"/>
      <c r="K41" s="27"/>
      <c r="L41" s="14"/>
    </row>
    <row r="42" spans="2:12" x14ac:dyDescent="0.25">
      <c r="B42" s="17">
        <v>41</v>
      </c>
      <c r="C42" s="17"/>
      <c r="D42" s="50" t="s">
        <v>804</v>
      </c>
      <c r="E42" s="17">
        <f>84*7</f>
        <v>588</v>
      </c>
      <c r="F42" s="17" t="s">
        <v>761</v>
      </c>
      <c r="G42" s="44">
        <v>38.116666600000002</v>
      </c>
      <c r="H42" s="44">
        <f t="shared" si="1"/>
        <v>22412.599960800002</v>
      </c>
      <c r="I42" s="17" t="s">
        <v>774</v>
      </c>
      <c r="J42" s="27"/>
      <c r="K42" s="27"/>
    </row>
    <row r="43" spans="2:12" x14ac:dyDescent="0.25">
      <c r="B43" s="17">
        <v>42</v>
      </c>
      <c r="C43" s="17"/>
      <c r="D43" s="50" t="s">
        <v>824</v>
      </c>
      <c r="E43" s="17">
        <v>30</v>
      </c>
      <c r="F43" s="17" t="s">
        <v>818</v>
      </c>
      <c r="G43" s="44">
        <v>24</v>
      </c>
      <c r="H43" s="44">
        <f t="shared" si="1"/>
        <v>720</v>
      </c>
      <c r="I43" s="17" t="s">
        <v>774</v>
      </c>
      <c r="J43" s="27"/>
      <c r="K43" s="27"/>
    </row>
    <row r="44" spans="2:12" x14ac:dyDescent="0.25">
      <c r="B44" s="17">
        <v>43</v>
      </c>
      <c r="C44" s="17"/>
      <c r="D44" s="50" t="s">
        <v>825</v>
      </c>
      <c r="E44" s="17">
        <v>1</v>
      </c>
      <c r="F44" s="17" t="s">
        <v>760</v>
      </c>
      <c r="G44" s="44">
        <v>860</v>
      </c>
      <c r="H44" s="44">
        <f t="shared" si="1"/>
        <v>860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19" t="s">
        <v>873</v>
      </c>
      <c r="E45" s="18">
        <v>140</v>
      </c>
      <c r="F45" s="18" t="s">
        <v>761</v>
      </c>
      <c r="G45" s="25">
        <v>23.90625</v>
      </c>
      <c r="H45" s="25">
        <f t="shared" si="1"/>
        <v>3346.875</v>
      </c>
      <c r="I45" s="18" t="s">
        <v>774</v>
      </c>
      <c r="J45" s="27"/>
      <c r="K45" s="27"/>
    </row>
    <row r="46" spans="2:12" x14ac:dyDescent="0.25">
      <c r="B46" s="17">
        <v>45</v>
      </c>
      <c r="C46" s="17"/>
      <c r="D46" s="19" t="s">
        <v>778</v>
      </c>
      <c r="E46" s="18">
        <v>66</v>
      </c>
      <c r="F46" s="18" t="s">
        <v>761</v>
      </c>
      <c r="G46" s="25">
        <v>26</v>
      </c>
      <c r="H46" s="25">
        <f t="shared" si="1"/>
        <v>1716</v>
      </c>
      <c r="I46" s="18" t="s">
        <v>774</v>
      </c>
      <c r="J46" s="27"/>
      <c r="K46" s="27"/>
    </row>
    <row r="47" spans="2:12" x14ac:dyDescent="0.25">
      <c r="B47" s="17">
        <v>46</v>
      </c>
      <c r="C47" s="17"/>
      <c r="D47" s="19" t="s">
        <v>800</v>
      </c>
      <c r="E47" s="18">
        <v>1</v>
      </c>
      <c r="F47" s="18" t="s">
        <v>760</v>
      </c>
      <c r="G47" s="25">
        <f>7500+7000+6500+10000</f>
        <v>31000</v>
      </c>
      <c r="H47" s="25">
        <f t="shared" si="1"/>
        <v>31000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50" t="s">
        <v>788</v>
      </c>
      <c r="E48" s="17">
        <v>1</v>
      </c>
      <c r="F48" s="17" t="s">
        <v>760</v>
      </c>
      <c r="G48" s="54">
        <v>6000</v>
      </c>
      <c r="H48" s="54">
        <f t="shared" si="1"/>
        <v>6000</v>
      </c>
      <c r="I48" s="17" t="s">
        <v>771</v>
      </c>
      <c r="J48" s="27"/>
      <c r="K48" s="27"/>
    </row>
    <row r="49" spans="2:12" x14ac:dyDescent="0.25">
      <c r="B49" s="17">
        <v>48</v>
      </c>
      <c r="C49" s="17"/>
      <c r="D49" s="50" t="s">
        <v>769</v>
      </c>
      <c r="E49" s="17">
        <v>4100</v>
      </c>
      <c r="F49" s="17" t="s">
        <v>811</v>
      </c>
      <c r="G49" s="54">
        <v>9.65</v>
      </c>
      <c r="H49" s="54">
        <f t="shared" si="1"/>
        <v>39565</v>
      </c>
      <c r="I49" s="17" t="s">
        <v>771</v>
      </c>
      <c r="J49" s="27"/>
      <c r="K49" s="27"/>
    </row>
    <row r="50" spans="2:12" x14ac:dyDescent="0.25">
      <c r="B50" s="17">
        <v>49</v>
      </c>
      <c r="C50" s="17"/>
      <c r="D50" s="50" t="s">
        <v>770</v>
      </c>
      <c r="E50" s="17">
        <v>4000</v>
      </c>
      <c r="F50" s="17" t="s">
        <v>811</v>
      </c>
      <c r="G50" s="54">
        <v>9.65</v>
      </c>
      <c r="H50" s="54">
        <f t="shared" si="1"/>
        <v>38600</v>
      </c>
      <c r="I50" s="17" t="s">
        <v>771</v>
      </c>
      <c r="J50" s="27"/>
      <c r="K50" s="27"/>
      <c r="L50" s="14" t="s">
        <v>812</v>
      </c>
    </row>
    <row r="51" spans="2:12" x14ac:dyDescent="0.25">
      <c r="B51" s="17">
        <v>50</v>
      </c>
      <c r="C51" s="17"/>
      <c r="D51" s="50" t="s">
        <v>803</v>
      </c>
      <c r="E51" s="17">
        <v>1</v>
      </c>
      <c r="F51" s="17" t="s">
        <v>760</v>
      </c>
      <c r="G51" s="54">
        <v>164000</v>
      </c>
      <c r="H51" s="54">
        <f t="shared" si="1"/>
        <v>164000</v>
      </c>
      <c r="I51" s="17" t="s">
        <v>771</v>
      </c>
      <c r="J51" s="27"/>
      <c r="K51" s="27"/>
      <c r="L51" s="14" t="s">
        <v>812</v>
      </c>
    </row>
    <row r="52" spans="2:12" x14ac:dyDescent="0.25">
      <c r="B52" s="17">
        <v>51</v>
      </c>
      <c r="C52" s="17"/>
      <c r="D52" s="50" t="s">
        <v>830</v>
      </c>
      <c r="E52" s="53">
        <v>99.22</v>
      </c>
      <c r="F52" s="17" t="s">
        <v>759</v>
      </c>
      <c r="G52" s="54">
        <v>670</v>
      </c>
      <c r="H52" s="54">
        <f t="shared" si="1"/>
        <v>66477.399999999994</v>
      </c>
      <c r="I52" s="17" t="s">
        <v>771</v>
      </c>
      <c r="J52" s="27"/>
      <c r="K52" s="27"/>
    </row>
    <row r="53" spans="2:12" x14ac:dyDescent="0.25">
      <c r="B53" s="17">
        <v>52</v>
      </c>
      <c r="C53" s="17"/>
      <c r="D53" s="50" t="s">
        <v>829</v>
      </c>
      <c r="E53" s="17">
        <v>68</v>
      </c>
      <c r="F53" s="17" t="s">
        <v>759</v>
      </c>
      <c r="G53" s="54">
        <v>670</v>
      </c>
      <c r="H53" s="54">
        <f t="shared" si="1"/>
        <v>45560</v>
      </c>
      <c r="I53" s="17" t="s">
        <v>771</v>
      </c>
      <c r="J53" s="27"/>
      <c r="K53" s="27"/>
    </row>
    <row r="54" spans="2:12" x14ac:dyDescent="0.25">
      <c r="B54" s="17">
        <v>53</v>
      </c>
      <c r="C54" s="17"/>
      <c r="D54" s="50" t="s">
        <v>808</v>
      </c>
      <c r="E54" s="17">
        <v>1</v>
      </c>
      <c r="F54" s="17" t="s">
        <v>760</v>
      </c>
      <c r="G54" s="54">
        <v>56500</v>
      </c>
      <c r="H54" s="54">
        <f t="shared" si="1"/>
        <v>56500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777</v>
      </c>
      <c r="E55" s="17">
        <v>50</v>
      </c>
      <c r="F55" s="17" t="s">
        <v>760</v>
      </c>
      <c r="G55" s="44">
        <v>125</v>
      </c>
      <c r="H55" s="44">
        <f t="shared" si="1"/>
        <v>6250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842</v>
      </c>
      <c r="E56" s="17">
        <v>4</v>
      </c>
      <c r="F56" s="17" t="s">
        <v>760</v>
      </c>
      <c r="G56" s="44">
        <v>1500</v>
      </c>
      <c r="H56" s="44">
        <f t="shared" si="1"/>
        <v>6000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19" t="s">
        <v>850</v>
      </c>
      <c r="E57" s="18">
        <v>26</v>
      </c>
      <c r="F57" s="18" t="s">
        <v>760</v>
      </c>
      <c r="G57" s="25">
        <v>420</v>
      </c>
      <c r="H57" s="25">
        <f t="shared" si="1"/>
        <v>10920</v>
      </c>
      <c r="I57" s="17" t="s">
        <v>901</v>
      </c>
      <c r="J57" s="27"/>
      <c r="K57" s="27"/>
      <c r="L57" s="24" t="s">
        <v>843</v>
      </c>
    </row>
    <row r="58" spans="2:12" x14ac:dyDescent="0.25">
      <c r="B58" s="17">
        <v>57</v>
      </c>
      <c r="C58" s="17"/>
      <c r="D58" s="50" t="s">
        <v>898</v>
      </c>
      <c r="E58" s="18">
        <v>400</v>
      </c>
      <c r="F58" s="18" t="s">
        <v>761</v>
      </c>
      <c r="G58" s="25">
        <v>15</v>
      </c>
      <c r="H58" s="25">
        <f t="shared" si="1"/>
        <v>6000</v>
      </c>
      <c r="I58" s="17" t="s">
        <v>901</v>
      </c>
      <c r="J58" s="27"/>
      <c r="K58" s="27"/>
    </row>
    <row r="59" spans="2:12" x14ac:dyDescent="0.25">
      <c r="B59" s="17">
        <v>58</v>
      </c>
      <c r="C59" s="17"/>
      <c r="D59" s="19" t="s">
        <v>851</v>
      </c>
      <c r="E59" s="18">
        <v>1</v>
      </c>
      <c r="F59" s="18" t="s">
        <v>760</v>
      </c>
      <c r="G59" s="25">
        <f>119439/2</f>
        <v>59719.5</v>
      </c>
      <c r="H59" s="25">
        <f t="shared" si="1"/>
        <v>59719.5</v>
      </c>
      <c r="I59" s="17" t="s">
        <v>901</v>
      </c>
      <c r="J59" s="27"/>
      <c r="K59" s="27"/>
    </row>
    <row r="60" spans="2:12" x14ac:dyDescent="0.25">
      <c r="B60" s="17">
        <v>59</v>
      </c>
      <c r="C60" s="17"/>
      <c r="D60" s="19" t="s">
        <v>783</v>
      </c>
      <c r="E60" s="18">
        <v>8</v>
      </c>
      <c r="F60" s="18" t="s">
        <v>760</v>
      </c>
      <c r="G60" s="25">
        <v>380</v>
      </c>
      <c r="H60" s="25">
        <f t="shared" si="1"/>
        <v>3040</v>
      </c>
      <c r="I60" s="18" t="s">
        <v>576</v>
      </c>
      <c r="J60" s="27"/>
      <c r="K60" s="27"/>
    </row>
    <row r="61" spans="2:12" x14ac:dyDescent="0.25">
      <c r="B61" s="17">
        <v>60</v>
      </c>
      <c r="C61" s="17"/>
      <c r="D61" s="19" t="s">
        <v>784</v>
      </c>
      <c r="E61" s="18">
        <v>4</v>
      </c>
      <c r="F61" s="18" t="s">
        <v>760</v>
      </c>
      <c r="G61" s="25">
        <v>290</v>
      </c>
      <c r="H61" s="25">
        <f t="shared" si="1"/>
        <v>1160</v>
      </c>
      <c r="I61" s="18" t="s">
        <v>576</v>
      </c>
      <c r="J61" s="27"/>
      <c r="K61" s="27"/>
    </row>
    <row r="62" spans="2:12" x14ac:dyDescent="0.25">
      <c r="B62" s="17">
        <v>61</v>
      </c>
      <c r="C62" s="17"/>
      <c r="D62" s="19" t="s">
        <v>785</v>
      </c>
      <c r="E62" s="18">
        <v>4</v>
      </c>
      <c r="F62" s="18" t="s">
        <v>760</v>
      </c>
      <c r="G62" s="25">
        <v>290</v>
      </c>
      <c r="H62" s="25">
        <f t="shared" si="1"/>
        <v>1160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50" t="s">
        <v>757</v>
      </c>
      <c r="E63" s="53">
        <f>(2150*1.05)*0.15</f>
        <v>338.625</v>
      </c>
      <c r="F63" s="17" t="s">
        <v>759</v>
      </c>
      <c r="G63" s="54">
        <v>670</v>
      </c>
      <c r="H63" s="54">
        <f t="shared" si="1"/>
        <v>226878.75</v>
      </c>
      <c r="I63" s="17" t="s">
        <v>833</v>
      </c>
      <c r="J63" s="27"/>
      <c r="K63" s="27"/>
    </row>
    <row r="64" spans="2:12" x14ac:dyDescent="0.25">
      <c r="B64" s="17">
        <v>63</v>
      </c>
      <c r="C64" s="17"/>
      <c r="D64" s="50" t="s">
        <v>775</v>
      </c>
      <c r="E64" s="53">
        <f>(2150/13)*2</f>
        <v>330.76923076923077</v>
      </c>
      <c r="F64" s="17" t="s">
        <v>760</v>
      </c>
      <c r="G64" s="54">
        <v>220.5</v>
      </c>
      <c r="H64" s="54">
        <f t="shared" si="1"/>
        <v>72934.61538461539</v>
      </c>
      <c r="I64" s="17" t="s">
        <v>833</v>
      </c>
      <c r="J64" s="27"/>
      <c r="K64" s="27"/>
    </row>
    <row r="65" spans="2:11" x14ac:dyDescent="0.25">
      <c r="B65" s="17">
        <v>64</v>
      </c>
      <c r="C65" s="17"/>
      <c r="D65" s="50" t="s">
        <v>758</v>
      </c>
      <c r="E65" s="17">
        <f>2100/12</f>
        <v>175</v>
      </c>
      <c r="F65" s="17" t="s">
        <v>760</v>
      </c>
      <c r="G65" s="54">
        <v>56.2</v>
      </c>
      <c r="H65" s="54">
        <f t="shared" si="1"/>
        <v>9835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762</v>
      </c>
      <c r="E66" s="17">
        <v>1000</v>
      </c>
      <c r="F66" s="17" t="s">
        <v>763</v>
      </c>
      <c r="G66" s="54">
        <v>7.3</v>
      </c>
      <c r="H66" s="54">
        <f t="shared" ref="H66:H97" si="2">G66*E66</f>
        <v>7300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792</v>
      </c>
      <c r="E67" s="53">
        <f>E63</f>
        <v>338.625</v>
      </c>
      <c r="F67" s="17" t="s">
        <v>766</v>
      </c>
      <c r="G67" s="54">
        <v>50</v>
      </c>
      <c r="H67" s="54">
        <f t="shared" si="2"/>
        <v>16931.25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826</v>
      </c>
      <c r="E68" s="17">
        <v>1</v>
      </c>
      <c r="F68" s="17" t="s">
        <v>760</v>
      </c>
      <c r="G68" s="54">
        <v>53550</v>
      </c>
      <c r="H68" s="54">
        <f t="shared" si="2"/>
        <v>53550</v>
      </c>
      <c r="I68" s="17" t="s">
        <v>833</v>
      </c>
      <c r="J68" s="27"/>
      <c r="K68" s="27"/>
    </row>
    <row r="69" spans="2:11" x14ac:dyDescent="0.25">
      <c r="B69" s="17">
        <v>68</v>
      </c>
      <c r="C69" s="18"/>
      <c r="D69" s="19" t="s">
        <v>799</v>
      </c>
      <c r="E69" s="18">
        <v>110</v>
      </c>
      <c r="F69" s="18" t="s">
        <v>760</v>
      </c>
      <c r="G69" s="25">
        <v>42.29</v>
      </c>
      <c r="H69" s="25">
        <f t="shared" si="2"/>
        <v>4651.8999999999996</v>
      </c>
      <c r="I69" s="18" t="s">
        <v>831</v>
      </c>
      <c r="J69" s="27"/>
      <c r="K69" s="27"/>
    </row>
    <row r="70" spans="2:11" x14ac:dyDescent="0.25">
      <c r="B70" s="17">
        <v>69</v>
      </c>
      <c r="C70" s="18"/>
      <c r="D70" s="19" t="s">
        <v>832</v>
      </c>
      <c r="E70" s="18">
        <v>1</v>
      </c>
      <c r="F70" s="18" t="s">
        <v>760</v>
      </c>
      <c r="G70" s="25">
        <v>1400</v>
      </c>
      <c r="H70" s="25">
        <f t="shared" si="2"/>
        <v>1400</v>
      </c>
      <c r="I70" s="18" t="s">
        <v>831</v>
      </c>
      <c r="J70" s="27"/>
      <c r="K70" s="27"/>
    </row>
    <row r="71" spans="2:11" x14ac:dyDescent="0.25">
      <c r="B71" s="17">
        <v>70</v>
      </c>
      <c r="C71" s="18"/>
      <c r="D71" s="19" t="s">
        <v>757</v>
      </c>
      <c r="E71" s="52">
        <f>((1260+960)*0.15)*1.1</f>
        <v>366.3</v>
      </c>
      <c r="F71" s="18" t="s">
        <v>759</v>
      </c>
      <c r="G71" s="25">
        <v>670</v>
      </c>
      <c r="H71" s="25">
        <f t="shared" si="2"/>
        <v>245421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50" t="s">
        <v>775</v>
      </c>
      <c r="E72" s="52">
        <f>(1260+960)/13*1.05</f>
        <v>179.30769230769232</v>
      </c>
      <c r="F72" s="18" t="s">
        <v>760</v>
      </c>
      <c r="G72" s="25">
        <v>220.5</v>
      </c>
      <c r="H72" s="25">
        <f t="shared" si="2"/>
        <v>39537.346153846156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834</v>
      </c>
      <c r="E73" s="18">
        <v>1</v>
      </c>
      <c r="F73" s="18" t="s">
        <v>760</v>
      </c>
      <c r="G73" s="25">
        <v>62525</v>
      </c>
      <c r="H73" s="25">
        <f t="shared" si="2"/>
        <v>62525</v>
      </c>
      <c r="I73" s="18" t="s">
        <v>831</v>
      </c>
      <c r="J73" s="27"/>
      <c r="K73" s="27"/>
    </row>
    <row r="74" spans="2:11" x14ac:dyDescent="0.25">
      <c r="B74" s="17">
        <v>73</v>
      </c>
      <c r="C74" s="17"/>
      <c r="D74" s="50" t="s">
        <v>823</v>
      </c>
      <c r="E74" s="17">
        <v>1</v>
      </c>
      <c r="F74" s="17" t="s">
        <v>760</v>
      </c>
      <c r="G74" s="44">
        <v>24500</v>
      </c>
      <c r="H74" s="44">
        <f t="shared" si="2"/>
        <v>24500</v>
      </c>
      <c r="I74" s="17" t="s">
        <v>772</v>
      </c>
      <c r="J74" s="27"/>
      <c r="K74" s="27"/>
    </row>
    <row r="75" spans="2:11" x14ac:dyDescent="0.25">
      <c r="B75" s="17">
        <v>74</v>
      </c>
      <c r="C75" s="17"/>
      <c r="D75" s="50" t="s">
        <v>773</v>
      </c>
      <c r="E75" s="17">
        <v>1</v>
      </c>
      <c r="F75" s="17" t="s">
        <v>760</v>
      </c>
      <c r="G75" s="54">
        <v>968004</v>
      </c>
      <c r="H75" s="54">
        <f t="shared" si="2"/>
        <v>968004</v>
      </c>
      <c r="I75" s="17" t="s">
        <v>772</v>
      </c>
      <c r="J75" s="27"/>
      <c r="K75" s="27"/>
    </row>
    <row r="76" spans="2:11" x14ac:dyDescent="0.25">
      <c r="B76" s="17">
        <v>75</v>
      </c>
      <c r="C76" s="18"/>
      <c r="D76" s="19" t="s">
        <v>904</v>
      </c>
      <c r="E76" s="18">
        <v>1</v>
      </c>
      <c r="F76" s="18" t="s">
        <v>760</v>
      </c>
      <c r="G76" s="25">
        <v>32000</v>
      </c>
      <c r="H76" s="51">
        <f t="shared" si="2"/>
        <v>32000</v>
      </c>
      <c r="I76" s="18" t="s">
        <v>859</v>
      </c>
      <c r="J76" s="27"/>
      <c r="K76" s="27"/>
    </row>
    <row r="77" spans="2:11" x14ac:dyDescent="0.25">
      <c r="B77" s="17">
        <v>76</v>
      </c>
      <c r="C77" s="18"/>
      <c r="D77" s="19" t="s">
        <v>903</v>
      </c>
      <c r="E77" s="18">
        <v>1</v>
      </c>
      <c r="F77" s="18" t="s">
        <v>760</v>
      </c>
      <c r="G77" s="25">
        <v>10000</v>
      </c>
      <c r="H77" s="51">
        <f t="shared" si="2"/>
        <v>10000</v>
      </c>
      <c r="I77" s="18" t="s">
        <v>859</v>
      </c>
      <c r="J77" s="27"/>
      <c r="K77" s="27"/>
    </row>
    <row r="78" spans="2:11" x14ac:dyDescent="0.25">
      <c r="B78" s="17">
        <v>77</v>
      </c>
      <c r="C78" s="17"/>
      <c r="D78" s="19" t="s">
        <v>793</v>
      </c>
      <c r="E78" s="18">
        <v>1</v>
      </c>
      <c r="F78" s="18" t="s">
        <v>760</v>
      </c>
      <c r="G78" s="25">
        <v>46600</v>
      </c>
      <c r="H78" s="25">
        <f t="shared" si="2"/>
        <v>46600</v>
      </c>
      <c r="I78" s="18" t="s">
        <v>837</v>
      </c>
      <c r="J78" s="42" t="s">
        <v>922</v>
      </c>
      <c r="K78" s="27"/>
    </row>
    <row r="79" spans="2:11" x14ac:dyDescent="0.25">
      <c r="B79" s="17">
        <v>78</v>
      </c>
      <c r="C79" s="17"/>
      <c r="D79" s="19" t="s">
        <v>794</v>
      </c>
      <c r="E79" s="18">
        <v>1</v>
      </c>
      <c r="F79" s="18" t="s">
        <v>760</v>
      </c>
      <c r="G79" s="25">
        <v>8100</v>
      </c>
      <c r="H79" s="25">
        <f t="shared" si="2"/>
        <v>8100</v>
      </c>
      <c r="I79" s="18" t="s">
        <v>837</v>
      </c>
      <c r="J79" s="42" t="s">
        <v>922</v>
      </c>
      <c r="K79" s="27"/>
    </row>
    <row r="80" spans="2:11" x14ac:dyDescent="0.25">
      <c r="B80" s="17">
        <v>79</v>
      </c>
      <c r="C80" s="17"/>
      <c r="D80" s="19" t="s">
        <v>801</v>
      </c>
      <c r="E80" s="18">
        <v>1</v>
      </c>
      <c r="F80" s="18" t="s">
        <v>760</v>
      </c>
      <c r="G80" s="25">
        <v>5000</v>
      </c>
      <c r="H80" s="25">
        <f t="shared" si="2"/>
        <v>5000</v>
      </c>
      <c r="I80" s="18" t="s">
        <v>837</v>
      </c>
      <c r="J80" s="42" t="s">
        <v>922</v>
      </c>
      <c r="K80" s="27"/>
    </row>
    <row r="81" spans="2:12" x14ac:dyDescent="0.25">
      <c r="B81" s="17">
        <v>80</v>
      </c>
      <c r="C81" s="17"/>
      <c r="D81" s="19" t="s">
        <v>872</v>
      </c>
      <c r="E81" s="18">
        <v>1</v>
      </c>
      <c r="F81" s="18" t="s">
        <v>760</v>
      </c>
      <c r="G81" s="25">
        <v>27000</v>
      </c>
      <c r="H81" s="25">
        <f t="shared" si="2"/>
        <v>27000</v>
      </c>
      <c r="I81" s="18" t="s">
        <v>837</v>
      </c>
      <c r="J81" s="42" t="s">
        <v>923</v>
      </c>
      <c r="K81" s="27"/>
    </row>
    <row r="82" spans="2:12" x14ac:dyDescent="0.25">
      <c r="B82" s="17">
        <v>81</v>
      </c>
      <c r="C82" s="17"/>
      <c r="D82" s="19" t="s">
        <v>893</v>
      </c>
      <c r="E82" s="18">
        <v>320</v>
      </c>
      <c r="F82" s="18" t="s">
        <v>761</v>
      </c>
      <c r="G82" s="25">
        <v>16</v>
      </c>
      <c r="H82" s="25">
        <f t="shared" si="2"/>
        <v>5120</v>
      </c>
      <c r="I82" s="18" t="s">
        <v>837</v>
      </c>
      <c r="J82" s="42" t="s">
        <v>922</v>
      </c>
      <c r="K82" s="27"/>
    </row>
    <row r="83" spans="2:12" x14ac:dyDescent="0.25">
      <c r="B83" s="17">
        <v>82</v>
      </c>
      <c r="C83" s="17"/>
      <c r="D83" s="19" t="s">
        <v>911</v>
      </c>
      <c r="E83" s="18">
        <v>1</v>
      </c>
      <c r="F83" s="18" t="s">
        <v>760</v>
      </c>
      <c r="G83" s="25">
        <v>3400</v>
      </c>
      <c r="H83" s="25">
        <f t="shared" si="2"/>
        <v>3400</v>
      </c>
      <c r="I83" s="18" t="s">
        <v>837</v>
      </c>
      <c r="J83" s="42" t="s">
        <v>922</v>
      </c>
      <c r="K83" s="27"/>
    </row>
    <row r="84" spans="2:12" x14ac:dyDescent="0.25">
      <c r="B84" s="17">
        <v>83</v>
      </c>
      <c r="C84" s="17"/>
      <c r="D84" s="19" t="s">
        <v>912</v>
      </c>
      <c r="E84" s="18">
        <v>1</v>
      </c>
      <c r="F84" s="18" t="s">
        <v>760</v>
      </c>
      <c r="G84" s="25">
        <v>8000</v>
      </c>
      <c r="H84" s="25">
        <f t="shared" si="2"/>
        <v>8000</v>
      </c>
      <c r="I84" s="18" t="s">
        <v>837</v>
      </c>
      <c r="J84" s="42" t="s">
        <v>922</v>
      </c>
      <c r="K84" s="27"/>
    </row>
    <row r="85" spans="2:12" x14ac:dyDescent="0.25">
      <c r="B85" s="17">
        <v>84</v>
      </c>
      <c r="C85" s="17"/>
      <c r="D85" s="19" t="s">
        <v>916</v>
      </c>
      <c r="E85" s="18">
        <v>1</v>
      </c>
      <c r="F85" s="18" t="s">
        <v>760</v>
      </c>
      <c r="G85" s="25">
        <v>2500</v>
      </c>
      <c r="H85" s="25">
        <f t="shared" si="2"/>
        <v>2500</v>
      </c>
      <c r="I85" s="18" t="s">
        <v>837</v>
      </c>
      <c r="J85" s="42" t="s">
        <v>923</v>
      </c>
      <c r="K85" s="27"/>
    </row>
    <row r="86" spans="2:12" x14ac:dyDescent="0.25">
      <c r="B86" s="17">
        <v>85</v>
      </c>
      <c r="C86" s="17" t="s">
        <v>900</v>
      </c>
      <c r="D86" s="50" t="s">
        <v>896</v>
      </c>
      <c r="E86" s="52">
        <v>115</v>
      </c>
      <c r="F86" s="18" t="s">
        <v>760</v>
      </c>
      <c r="G86" s="25">
        <v>102</v>
      </c>
      <c r="H86" s="25">
        <f t="shared" si="2"/>
        <v>11730</v>
      </c>
      <c r="I86" s="17" t="s">
        <v>837</v>
      </c>
      <c r="J86" s="42" t="s">
        <v>922</v>
      </c>
      <c r="K86" s="27"/>
    </row>
    <row r="87" spans="2:12" x14ac:dyDescent="0.25">
      <c r="B87" s="17">
        <v>87</v>
      </c>
      <c r="C87" s="17"/>
      <c r="D87" s="50" t="s">
        <v>853</v>
      </c>
      <c r="E87" s="17">
        <v>87</v>
      </c>
      <c r="F87" s="17" t="s">
        <v>760</v>
      </c>
      <c r="G87" s="44">
        <v>34.99</v>
      </c>
      <c r="H87" s="44">
        <f t="shared" si="2"/>
        <v>3044.13</v>
      </c>
      <c r="I87" s="17" t="s">
        <v>791</v>
      </c>
      <c r="J87" s="27"/>
      <c r="K87" s="27"/>
    </row>
    <row r="88" spans="2:12" x14ac:dyDescent="0.25">
      <c r="B88" s="17">
        <v>88</v>
      </c>
      <c r="C88" s="17"/>
      <c r="D88" s="55" t="s">
        <v>854</v>
      </c>
      <c r="E88" s="17">
        <v>174</v>
      </c>
      <c r="F88" s="17" t="s">
        <v>760</v>
      </c>
      <c r="G88" s="44">
        <v>255.5</v>
      </c>
      <c r="H88" s="44">
        <f t="shared" si="2"/>
        <v>44457</v>
      </c>
      <c r="I88" s="17" t="s">
        <v>791</v>
      </c>
      <c r="J88" s="27"/>
      <c r="K88" s="27"/>
    </row>
    <row r="89" spans="2:12" x14ac:dyDescent="0.25">
      <c r="B89" s="17">
        <v>89</v>
      </c>
      <c r="C89" s="17"/>
      <c r="D89" s="50" t="s">
        <v>855</v>
      </c>
      <c r="E89" s="17">
        <v>174</v>
      </c>
      <c r="F89" s="17" t="s">
        <v>760</v>
      </c>
      <c r="G89" s="44">
        <v>196</v>
      </c>
      <c r="H89" s="44">
        <f t="shared" si="2"/>
        <v>34104</v>
      </c>
      <c r="I89" s="17" t="s">
        <v>791</v>
      </c>
      <c r="J89" s="27"/>
      <c r="K89" s="27"/>
    </row>
    <row r="90" spans="2:12" x14ac:dyDescent="0.25">
      <c r="B90" s="17">
        <v>90</v>
      </c>
      <c r="C90" s="17"/>
      <c r="D90" s="55" t="s">
        <v>840</v>
      </c>
      <c r="E90" s="17">
        <v>4700</v>
      </c>
      <c r="F90" s="17" t="s">
        <v>760</v>
      </c>
      <c r="G90" s="44">
        <v>0.5</v>
      </c>
      <c r="H90" s="44">
        <f t="shared" si="2"/>
        <v>2350</v>
      </c>
      <c r="I90" s="17" t="s">
        <v>791</v>
      </c>
      <c r="J90" s="27"/>
      <c r="K90" s="27"/>
    </row>
    <row r="91" spans="2:12" x14ac:dyDescent="0.25">
      <c r="B91" s="17">
        <v>91</v>
      </c>
      <c r="C91" s="17"/>
      <c r="D91" s="50" t="s">
        <v>841</v>
      </c>
      <c r="E91" s="17">
        <v>3200</v>
      </c>
      <c r="F91" s="17" t="s">
        <v>760</v>
      </c>
      <c r="G91" s="44">
        <v>0.5</v>
      </c>
      <c r="H91" s="44">
        <f t="shared" si="2"/>
        <v>1600</v>
      </c>
      <c r="I91" s="17" t="s">
        <v>791</v>
      </c>
      <c r="J91" s="27"/>
      <c r="K91" s="27"/>
    </row>
    <row r="92" spans="2:12" x14ac:dyDescent="0.25">
      <c r="B92" s="17">
        <v>92</v>
      </c>
      <c r="C92" s="17"/>
      <c r="D92" s="50" t="s">
        <v>781</v>
      </c>
      <c r="E92" s="17">
        <v>1</v>
      </c>
      <c r="F92" s="17" t="s">
        <v>760</v>
      </c>
      <c r="G92" s="44">
        <v>908615.35</v>
      </c>
      <c r="H92" s="44">
        <f t="shared" si="2"/>
        <v>908615.35</v>
      </c>
      <c r="I92" s="17" t="s">
        <v>780</v>
      </c>
      <c r="J92" s="27"/>
      <c r="K92" s="27"/>
    </row>
    <row r="93" spans="2:12" x14ac:dyDescent="0.25">
      <c r="B93" s="17">
        <v>93</v>
      </c>
      <c r="C93" s="17" t="s">
        <v>900</v>
      </c>
      <c r="D93" s="19" t="s">
        <v>894</v>
      </c>
      <c r="E93" s="18">
        <v>750</v>
      </c>
      <c r="F93" s="18" t="s">
        <v>761</v>
      </c>
      <c r="G93" s="25">
        <v>124.25</v>
      </c>
      <c r="H93" s="25">
        <f t="shared" si="2"/>
        <v>93187.5</v>
      </c>
      <c r="I93" s="18" t="s">
        <v>836</v>
      </c>
      <c r="J93" s="27"/>
      <c r="K93" s="27"/>
    </row>
    <row r="94" spans="2:12" x14ac:dyDescent="0.25">
      <c r="B94" s="17">
        <v>94</v>
      </c>
      <c r="C94" s="17" t="s">
        <v>900</v>
      </c>
      <c r="D94" s="19" t="s">
        <v>895</v>
      </c>
      <c r="E94" s="18">
        <v>250</v>
      </c>
      <c r="F94" s="18" t="s">
        <v>761</v>
      </c>
      <c r="G94" s="25">
        <v>55.57</v>
      </c>
      <c r="H94" s="25">
        <f t="shared" si="2"/>
        <v>13892.5</v>
      </c>
      <c r="I94" s="18" t="s">
        <v>836</v>
      </c>
      <c r="J94" s="27"/>
      <c r="K94" s="27"/>
    </row>
    <row r="95" spans="2:12" x14ac:dyDescent="0.25">
      <c r="B95" s="17">
        <v>95</v>
      </c>
      <c r="C95" s="17"/>
      <c r="D95" s="19" t="s">
        <v>897</v>
      </c>
      <c r="E95" s="18">
        <v>1</v>
      </c>
      <c r="F95" s="18" t="s">
        <v>760</v>
      </c>
      <c r="G95" s="25">
        <v>4430</v>
      </c>
      <c r="H95" s="25">
        <f t="shared" si="2"/>
        <v>4430</v>
      </c>
      <c r="I95" s="18" t="s">
        <v>836</v>
      </c>
      <c r="J95" s="27"/>
      <c r="K95" s="27"/>
    </row>
    <row r="96" spans="2:12" x14ac:dyDescent="0.25">
      <c r="B96" s="17">
        <v>96</v>
      </c>
      <c r="C96" s="17"/>
      <c r="D96" s="19" t="s">
        <v>796</v>
      </c>
      <c r="E96" s="18">
        <v>1</v>
      </c>
      <c r="F96" s="18" t="s">
        <v>760</v>
      </c>
      <c r="G96" s="25">
        <v>670000</v>
      </c>
      <c r="H96" s="25">
        <f t="shared" si="2"/>
        <v>670000</v>
      </c>
      <c r="I96" s="18" t="s">
        <v>836</v>
      </c>
      <c r="J96" s="27"/>
      <c r="K96" s="27"/>
      <c r="L96" s="14"/>
    </row>
    <row r="97" spans="2:12" x14ac:dyDescent="0.25">
      <c r="B97" s="17">
        <v>97</v>
      </c>
      <c r="C97" s="17"/>
      <c r="D97" s="19" t="s">
        <v>827</v>
      </c>
      <c r="E97" s="52">
        <f>8*4.2*0.35</f>
        <v>11.76</v>
      </c>
      <c r="F97" s="18" t="s">
        <v>759</v>
      </c>
      <c r="G97" s="25">
        <v>670</v>
      </c>
      <c r="H97" s="25">
        <f t="shared" si="2"/>
        <v>7879.2</v>
      </c>
      <c r="I97" s="18" t="s">
        <v>836</v>
      </c>
      <c r="J97" s="27"/>
      <c r="K97" s="27"/>
    </row>
    <row r="98" spans="2:12" x14ac:dyDescent="0.25">
      <c r="B98" s="17">
        <v>98</v>
      </c>
      <c r="C98" s="17"/>
      <c r="D98" s="19" t="s">
        <v>828</v>
      </c>
      <c r="E98" s="18">
        <v>600</v>
      </c>
      <c r="F98" s="18" t="s">
        <v>811</v>
      </c>
      <c r="G98" s="25">
        <v>9.99</v>
      </c>
      <c r="H98" s="25">
        <f t="shared" ref="H98" si="3">G98*E98</f>
        <v>5994</v>
      </c>
      <c r="I98" s="18" t="s">
        <v>836</v>
      </c>
      <c r="J98" s="27"/>
      <c r="K98" s="27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23"/>
      <c r="I99" s="18"/>
      <c r="J99" s="27"/>
      <c r="K99" s="27"/>
    </row>
    <row r="100" spans="2:12" x14ac:dyDescent="0.25">
      <c r="B100" s="18"/>
      <c r="C100" s="18"/>
      <c r="D100" s="19"/>
      <c r="E100" s="18"/>
      <c r="F100" s="18"/>
      <c r="G100" s="20" t="s">
        <v>925</v>
      </c>
      <c r="H100" s="23" t="s">
        <v>926</v>
      </c>
      <c r="I100" s="18"/>
      <c r="J100" s="27"/>
      <c r="K100" s="27"/>
    </row>
    <row r="101" spans="2:12" x14ac:dyDescent="0.25">
      <c r="D101" s="21"/>
      <c r="E101" s="22"/>
      <c r="F101" s="22"/>
      <c r="H101" s="16">
        <f>SUM(Tabela24[Preço Total])</f>
        <v>5833096.2741069021</v>
      </c>
    </row>
    <row r="102" spans="2:12" x14ac:dyDescent="0.25">
      <c r="D102" s="28"/>
      <c r="E102" s="29"/>
      <c r="F102" s="29"/>
    </row>
    <row r="105" spans="2:12" x14ac:dyDescent="0.25">
      <c r="H10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IV'!H101</f>
        <v>5833096.2741069021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772</v>
      </c>
      <c r="D5" s="35">
        <f>SUMIF(Tabela24[Aplicação],"Pré Moldado",Tabela24[Preço Total])</f>
        <v>992504</v>
      </c>
      <c r="E5" s="41">
        <f t="shared" ref="E5:E21" si="0">D5/$D$2</f>
        <v>0.17015045755471625</v>
      </c>
      <c r="F5" s="14"/>
      <c r="G5" s="14"/>
    </row>
    <row r="6" spans="3:7" x14ac:dyDescent="0.25">
      <c r="C6" s="24" t="s">
        <v>780</v>
      </c>
      <c r="D6" s="35">
        <f>SUMIF(Tabela24[Aplicação],"Terraplanagem",Tabela24[Preço Total])</f>
        <v>908615.35</v>
      </c>
      <c r="E6" s="41">
        <f t="shared" si="0"/>
        <v>0.15576896168049564</v>
      </c>
      <c r="F6" s="14"/>
      <c r="G6" s="14"/>
    </row>
    <row r="7" spans="3:7" x14ac:dyDescent="0.25">
      <c r="C7" s="24" t="s">
        <v>835</v>
      </c>
      <c r="D7" s="35">
        <f>SUMIF(Tabela24[Aplicação],"Docas de Carregamento",Tabela24[Preço Total])</f>
        <v>893801.0010256411</v>
      </c>
      <c r="E7" s="41">
        <f t="shared" si="0"/>
        <v>0.15322925578876886</v>
      </c>
      <c r="F7" s="38"/>
      <c r="G7" s="14"/>
    </row>
    <row r="8" spans="3:7" x14ac:dyDescent="0.25">
      <c r="C8" s="24" t="s">
        <v>836</v>
      </c>
      <c r="D8" s="35">
        <f>SUMIF(Tabela24[Aplicação],"Tratamento de Esgoto",Tabela24[Preço Total])</f>
        <v>795383.2</v>
      </c>
      <c r="E8" s="41">
        <f t="shared" si="0"/>
        <v>0.13635694708669627</v>
      </c>
      <c r="F8" s="14"/>
      <c r="G8" s="14"/>
    </row>
    <row r="9" spans="3:7" x14ac:dyDescent="0.25">
      <c r="C9" s="24" t="s">
        <v>779</v>
      </c>
      <c r="D9" s="35">
        <f>SUMIF(Tabela24[Aplicação],"AVCB",Tabela24[Preço Total])</f>
        <v>0</v>
      </c>
      <c r="E9" s="41">
        <f t="shared" si="0"/>
        <v>0</v>
      </c>
      <c r="F9" s="38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7.3537685620605739E-2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6.6419204686268316E-2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6.0608505250151296E-2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 t="shared" si="0"/>
        <v>2.013510397922973E-2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1.7803457224079541E-2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1.7588760196574758E-2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1.466718977017043E-2</v>
      </c>
      <c r="F16" s="14"/>
      <c r="G16" s="14"/>
    </row>
    <row r="17" spans="3:7" x14ac:dyDescent="0.25">
      <c r="C17" s="24" t="s">
        <v>806</v>
      </c>
      <c r="D17" s="35">
        <f>SUMIF(Tabela24[Aplicação],"Fechamento Frontal",Tabela24[Preço Total])</f>
        <v>44742.619974000001</v>
      </c>
      <c r="E17" s="41">
        <f t="shared" si="0"/>
        <v>7.6704751424406222E-3</v>
      </c>
      <c r="F17" s="38"/>
      <c r="G17" s="14"/>
    </row>
    <row r="18" spans="3:7" x14ac:dyDescent="0.25">
      <c r="C18" s="24" t="s">
        <v>909</v>
      </c>
      <c r="D18" s="35">
        <f>SUMIF(Tabela24[Aplicação],"Sala Coordenação",Tabela24[Preço Total])</f>
        <v>42000</v>
      </c>
      <c r="E18" s="41">
        <f t="shared" si="0"/>
        <v>7.20029261070795E-3</v>
      </c>
      <c r="F18" s="14"/>
      <c r="G18" s="14"/>
    </row>
    <row r="19" spans="3:7" x14ac:dyDescent="0.25">
      <c r="C19" s="24" t="s">
        <v>902</v>
      </c>
      <c r="D19" s="35">
        <f>SUMIF(Tabela24[Aplicação],"Iluminação Galpão",Tabela24[Preço Total])</f>
        <v>76639.5</v>
      </c>
      <c r="E19" s="41">
        <f t="shared" si="0"/>
        <v>1.3138733941389331E-2</v>
      </c>
      <c r="F19" s="38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9.1889448555701448E-4</v>
      </c>
      <c r="F20" s="38"/>
      <c r="G20" s="14"/>
    </row>
    <row r="21" spans="3:7" x14ac:dyDescent="0.25">
      <c r="C21" s="24" t="s">
        <v>798</v>
      </c>
      <c r="D21" s="35">
        <f>SUMIF(Tabela24[Aplicação],"Armazenamento",Tabela24[Preço Total])</f>
        <v>0</v>
      </c>
      <c r="E21" s="41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5"/>
  <sheetViews>
    <sheetView showGridLines="0" tabSelected="1" zoomScale="85" zoomScaleNormal="85" workbookViewId="0">
      <selection activeCell="H61" sqref="H61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>
        <v>1019077.5</v>
      </c>
      <c r="G4" s="20">
        <f t="shared" ref="G4:G20" si="0">F4*D4</f>
        <v>1019077.5</v>
      </c>
      <c r="H4" s="33" t="s">
        <v>798</v>
      </c>
      <c r="I4" s="31"/>
      <c r="J4" s="34" t="s">
        <v>860</v>
      </c>
    </row>
    <row r="5" spans="2:10" s="15" customFormat="1" x14ac:dyDescent="0.25">
      <c r="B5" s="31">
        <v>2</v>
      </c>
      <c r="C5" s="32" t="s">
        <v>929</v>
      </c>
      <c r="D5" s="33">
        <v>1</v>
      </c>
      <c r="E5" s="33" t="s">
        <v>760</v>
      </c>
      <c r="F5" s="20">
        <v>70700</v>
      </c>
      <c r="G5" s="20">
        <f>F5*D5</f>
        <v>70700</v>
      </c>
      <c r="H5" s="33" t="s">
        <v>798</v>
      </c>
      <c r="I5" s="31"/>
      <c r="J5" s="34"/>
    </row>
    <row r="6" spans="2:10" s="15" customFormat="1" x14ac:dyDescent="0.25">
      <c r="B6" s="31">
        <v>3</v>
      </c>
      <c r="C6" s="32" t="s">
        <v>930</v>
      </c>
      <c r="D6" s="33">
        <v>1</v>
      </c>
      <c r="E6" s="33" t="s">
        <v>760</v>
      </c>
      <c r="F6" s="20">
        <v>88200</v>
      </c>
      <c r="G6" s="20">
        <f>F6*D6</f>
        <v>88200</v>
      </c>
      <c r="H6" s="33" t="s">
        <v>798</v>
      </c>
      <c r="I6" s="31"/>
      <c r="J6" s="34"/>
    </row>
    <row r="7" spans="2:10" x14ac:dyDescent="0.25">
      <c r="B7" s="31">
        <v>4</v>
      </c>
      <c r="C7" s="43" t="s">
        <v>776</v>
      </c>
      <c r="D7" s="31">
        <v>1</v>
      </c>
      <c r="E7" s="33" t="s">
        <v>760</v>
      </c>
      <c r="F7" s="44">
        <f>212518+208594</f>
        <v>421112</v>
      </c>
      <c r="G7" s="44">
        <f t="shared" si="0"/>
        <v>421112</v>
      </c>
      <c r="H7" s="31" t="s">
        <v>920</v>
      </c>
      <c r="I7" s="31"/>
    </row>
    <row r="8" spans="2:10" x14ac:dyDescent="0.25">
      <c r="B8" s="31">
        <v>5</v>
      </c>
      <c r="C8" s="43" t="s">
        <v>822</v>
      </c>
      <c r="D8" s="31">
        <v>1</v>
      </c>
      <c r="E8" s="31" t="s">
        <v>760</v>
      </c>
      <c r="F8" s="44">
        <v>6650</v>
      </c>
      <c r="G8" s="44">
        <f t="shared" si="0"/>
        <v>6650</v>
      </c>
      <c r="H8" s="31" t="s">
        <v>920</v>
      </c>
      <c r="I8" s="31"/>
    </row>
    <row r="9" spans="2:10" x14ac:dyDescent="0.25">
      <c r="B9" s="31">
        <v>6</v>
      </c>
      <c r="C9" s="43" t="s">
        <v>861</v>
      </c>
      <c r="D9" s="31">
        <v>10</v>
      </c>
      <c r="E9" s="31" t="s">
        <v>881</v>
      </c>
      <c r="F9" s="44">
        <v>198.72</v>
      </c>
      <c r="G9" s="44">
        <f t="shared" si="0"/>
        <v>1987.2</v>
      </c>
      <c r="H9" s="31" t="s">
        <v>868</v>
      </c>
      <c r="I9" s="31"/>
    </row>
    <row r="10" spans="2:10" x14ac:dyDescent="0.25">
      <c r="B10" s="31">
        <v>7</v>
      </c>
      <c r="C10" s="43" t="s">
        <v>864</v>
      </c>
      <c r="D10" s="31">
        <v>25</v>
      </c>
      <c r="E10" s="31" t="s">
        <v>881</v>
      </c>
      <c r="F10" s="44">
        <v>484.24</v>
      </c>
      <c r="G10" s="44">
        <f t="shared" si="0"/>
        <v>12106</v>
      </c>
      <c r="H10" s="31" t="s">
        <v>868</v>
      </c>
      <c r="I10" s="31"/>
    </row>
    <row r="11" spans="2:10" x14ac:dyDescent="0.25">
      <c r="B11" s="31">
        <v>8</v>
      </c>
      <c r="C11" s="43" t="s">
        <v>867</v>
      </c>
      <c r="D11" s="31">
        <v>8</v>
      </c>
      <c r="E11" s="31" t="s">
        <v>760</v>
      </c>
      <c r="F11" s="44">
        <v>703.93</v>
      </c>
      <c r="G11" s="44">
        <f t="shared" si="0"/>
        <v>5631.44</v>
      </c>
      <c r="H11" s="31" t="s">
        <v>868</v>
      </c>
      <c r="I11" s="31"/>
    </row>
    <row r="12" spans="2:10" x14ac:dyDescent="0.25">
      <c r="B12" s="31">
        <v>9</v>
      </c>
      <c r="C12" s="43" t="s">
        <v>862</v>
      </c>
      <c r="D12" s="31">
        <v>24</v>
      </c>
      <c r="E12" s="31" t="s">
        <v>760</v>
      </c>
      <c r="F12" s="44">
        <v>49.05</v>
      </c>
      <c r="G12" s="44">
        <f t="shared" si="0"/>
        <v>1177.1999999999998</v>
      </c>
      <c r="H12" s="31" t="s">
        <v>868</v>
      </c>
      <c r="I12" s="31"/>
    </row>
    <row r="13" spans="2:10" x14ac:dyDescent="0.25">
      <c r="B13" s="31">
        <v>10</v>
      </c>
      <c r="C13" s="43" t="s">
        <v>865</v>
      </c>
      <c r="D13" s="31">
        <v>2</v>
      </c>
      <c r="E13" s="31" t="s">
        <v>760</v>
      </c>
      <c r="F13" s="44">
        <v>151.19999999999999</v>
      </c>
      <c r="G13" s="44">
        <f t="shared" si="0"/>
        <v>302.39999999999998</v>
      </c>
      <c r="H13" s="31" t="s">
        <v>868</v>
      </c>
      <c r="I13" s="31"/>
    </row>
    <row r="14" spans="2:10" x14ac:dyDescent="0.25">
      <c r="B14" s="31">
        <v>11</v>
      </c>
      <c r="C14" s="43" t="s">
        <v>866</v>
      </c>
      <c r="D14" s="31">
        <v>2</v>
      </c>
      <c r="E14" s="31" t="s">
        <v>760</v>
      </c>
      <c r="F14" s="44">
        <v>48.38</v>
      </c>
      <c r="G14" s="44">
        <f t="shared" si="0"/>
        <v>96.76</v>
      </c>
      <c r="H14" s="31" t="s">
        <v>868</v>
      </c>
      <c r="I14" s="31"/>
    </row>
    <row r="15" spans="2:10" x14ac:dyDescent="0.25">
      <c r="B15" s="31">
        <v>12</v>
      </c>
      <c r="C15" s="43" t="s">
        <v>863</v>
      </c>
      <c r="D15" s="31">
        <v>12</v>
      </c>
      <c r="E15" s="31" t="s">
        <v>760</v>
      </c>
      <c r="F15" s="44">
        <v>27.14</v>
      </c>
      <c r="G15" s="44">
        <f t="shared" si="0"/>
        <v>325.68</v>
      </c>
      <c r="H15" s="31" t="s">
        <v>868</v>
      </c>
      <c r="I15" s="31"/>
    </row>
    <row r="16" spans="2:10" x14ac:dyDescent="0.25">
      <c r="B16" s="31">
        <v>13</v>
      </c>
      <c r="C16" s="43" t="s">
        <v>816</v>
      </c>
      <c r="D16" s="31">
        <v>1</v>
      </c>
      <c r="E16" s="31" t="s">
        <v>760</v>
      </c>
      <c r="F16" s="44">
        <v>1056959.67</v>
      </c>
      <c r="G16" s="44">
        <f t="shared" si="0"/>
        <v>1056959.67</v>
      </c>
      <c r="H16" s="31" t="s">
        <v>891</v>
      </c>
      <c r="I16" s="31"/>
    </row>
    <row r="17" spans="2:10" x14ac:dyDescent="0.25">
      <c r="B17" s="31">
        <v>14</v>
      </c>
      <c r="C17" s="43" t="s">
        <v>892</v>
      </c>
      <c r="D17" s="31">
        <v>1</v>
      </c>
      <c r="E17" s="31" t="s">
        <v>760</v>
      </c>
      <c r="F17" s="44">
        <v>163890</v>
      </c>
      <c r="G17" s="44">
        <f t="shared" si="0"/>
        <v>163890</v>
      </c>
      <c r="H17" s="31" t="s">
        <v>891</v>
      </c>
      <c r="I17" s="31"/>
    </row>
    <row r="18" spans="2:10" x14ac:dyDescent="0.25">
      <c r="B18" s="31">
        <v>15</v>
      </c>
      <c r="C18" s="43" t="s">
        <v>805</v>
      </c>
      <c r="D18" s="45">
        <f>50*1.02</f>
        <v>51</v>
      </c>
      <c r="E18" s="31" t="s">
        <v>760</v>
      </c>
      <c r="F18" s="44">
        <v>243.39</v>
      </c>
      <c r="G18" s="44">
        <f t="shared" si="0"/>
        <v>12412.89</v>
      </c>
      <c r="H18" s="31" t="s">
        <v>806</v>
      </c>
      <c r="I18" s="31"/>
      <c r="J18" s="34" t="s">
        <v>852</v>
      </c>
    </row>
    <row r="19" spans="2:10" x14ac:dyDescent="0.25">
      <c r="B19" s="31">
        <v>16</v>
      </c>
      <c r="C19" s="43" t="s">
        <v>807</v>
      </c>
      <c r="D19" s="45">
        <v>51</v>
      </c>
      <c r="E19" s="31" t="s">
        <v>760</v>
      </c>
      <c r="F19" s="44">
        <v>119.7</v>
      </c>
      <c r="G19" s="44">
        <f t="shared" si="0"/>
        <v>6104.7</v>
      </c>
      <c r="H19" s="31" t="s">
        <v>806</v>
      </c>
      <c r="I19" s="31"/>
    </row>
    <row r="20" spans="2:10" x14ac:dyDescent="0.25">
      <c r="B20" s="31">
        <v>17</v>
      </c>
      <c r="C20" s="43" t="s">
        <v>805</v>
      </c>
      <c r="D20" s="45">
        <f>(40*1.02)*4</f>
        <v>163.19999999999999</v>
      </c>
      <c r="E20" s="31" t="s">
        <v>760</v>
      </c>
      <c r="F20" s="44">
        <v>243.39</v>
      </c>
      <c r="G20" s="44">
        <f t="shared" si="0"/>
        <v>39721.247999999992</v>
      </c>
      <c r="H20" s="31" t="s">
        <v>774</v>
      </c>
      <c r="I20" s="31"/>
    </row>
    <row r="21" spans="2:10" x14ac:dyDescent="0.25">
      <c r="B21" s="31">
        <v>18</v>
      </c>
      <c r="C21" s="43" t="s">
        <v>874</v>
      </c>
      <c r="D21" s="31">
        <v>180</v>
      </c>
      <c r="E21" s="33" t="s">
        <v>761</v>
      </c>
      <c r="F21" s="25">
        <v>23.90625</v>
      </c>
      <c r="G21" s="25">
        <f>Tabela2[[#This Row],[Preço Unitário]]*Tabela2[[#This Row],[Quantidade]]</f>
        <v>4303.125</v>
      </c>
      <c r="H21" s="33" t="s">
        <v>774</v>
      </c>
      <c r="I21" s="31"/>
    </row>
    <row r="22" spans="2:10" x14ac:dyDescent="0.25">
      <c r="B22" s="31">
        <v>19</v>
      </c>
      <c r="C22" s="32" t="s">
        <v>778</v>
      </c>
      <c r="D22" s="33">
        <v>50</v>
      </c>
      <c r="E22" s="33" t="s">
        <v>761</v>
      </c>
      <c r="F22" s="25">
        <v>32</v>
      </c>
      <c r="G22" s="25">
        <f>F22*D22</f>
        <v>1600</v>
      </c>
      <c r="H22" s="33" t="s">
        <v>774</v>
      </c>
      <c r="I22" s="31"/>
    </row>
    <row r="23" spans="2:10" x14ac:dyDescent="0.25">
      <c r="B23" s="31">
        <v>20</v>
      </c>
      <c r="C23" s="32" t="s">
        <v>871</v>
      </c>
      <c r="D23" s="33">
        <v>6</v>
      </c>
      <c r="E23" s="33" t="s">
        <v>761</v>
      </c>
      <c r="F23" s="25">
        <v>419</v>
      </c>
      <c r="G23" s="25">
        <f>F23*D23</f>
        <v>2514</v>
      </c>
      <c r="H23" s="33" t="s">
        <v>774</v>
      </c>
      <c r="I23" s="31"/>
    </row>
    <row r="24" spans="2:10" x14ac:dyDescent="0.25">
      <c r="B24" s="31">
        <v>21</v>
      </c>
      <c r="C24" s="32" t="s">
        <v>813</v>
      </c>
      <c r="D24" s="33">
        <v>1</v>
      </c>
      <c r="E24" s="33" t="s">
        <v>760</v>
      </c>
      <c r="F24" s="25">
        <f>23500+7500</f>
        <v>31000</v>
      </c>
      <c r="G24" s="25">
        <f>F24*D24</f>
        <v>31000</v>
      </c>
      <c r="H24" s="33" t="s">
        <v>774</v>
      </c>
      <c r="I24" s="31"/>
    </row>
    <row r="25" spans="2:10" x14ac:dyDescent="0.25">
      <c r="B25" s="31">
        <v>22</v>
      </c>
      <c r="C25" s="46" t="s">
        <v>790</v>
      </c>
      <c r="D25" s="47">
        <v>4</v>
      </c>
      <c r="E25" s="47" t="s">
        <v>760</v>
      </c>
      <c r="F25" s="48">
        <v>1500</v>
      </c>
      <c r="G25" s="48">
        <f>Tabela2[[#This Row],[Preço Unitário]]*Tabela2[[#This Row],[Quantidade]]</f>
        <v>6000</v>
      </c>
      <c r="H25" s="47" t="s">
        <v>771</v>
      </c>
      <c r="I25" s="31"/>
    </row>
    <row r="26" spans="2:10" x14ac:dyDescent="0.25">
      <c r="B26" s="31">
        <v>23</v>
      </c>
      <c r="C26" s="43" t="s">
        <v>789</v>
      </c>
      <c r="D26" s="31">
        <v>1</v>
      </c>
      <c r="E26" s="31" t="s">
        <v>760</v>
      </c>
      <c r="F26" s="44">
        <v>4500</v>
      </c>
      <c r="G26" s="44">
        <f t="shared" ref="G26:G53" si="1">F26*D26</f>
        <v>4500</v>
      </c>
      <c r="H26" s="31" t="s">
        <v>771</v>
      </c>
      <c r="I26" s="31"/>
    </row>
    <row r="27" spans="2:10" x14ac:dyDescent="0.25">
      <c r="B27" s="31">
        <v>24</v>
      </c>
      <c r="C27" s="43" t="s">
        <v>769</v>
      </c>
      <c r="D27" s="31">
        <v>2100</v>
      </c>
      <c r="E27" s="31" t="s">
        <v>811</v>
      </c>
      <c r="F27" s="44">
        <v>9.65</v>
      </c>
      <c r="G27" s="44">
        <f t="shared" si="1"/>
        <v>20265</v>
      </c>
      <c r="H27" s="31" t="s">
        <v>771</v>
      </c>
      <c r="I27" s="31"/>
    </row>
    <row r="28" spans="2:10" x14ac:dyDescent="0.25">
      <c r="B28" s="31">
        <v>25</v>
      </c>
      <c r="C28" s="43" t="s">
        <v>770</v>
      </c>
      <c r="D28" s="31">
        <v>2300</v>
      </c>
      <c r="E28" s="31" t="s">
        <v>811</v>
      </c>
      <c r="F28" s="44">
        <v>9.65</v>
      </c>
      <c r="G28" s="44">
        <f t="shared" si="1"/>
        <v>22195</v>
      </c>
      <c r="H28" s="31" t="s">
        <v>771</v>
      </c>
      <c r="I28" s="31"/>
    </row>
    <row r="29" spans="2:10" x14ac:dyDescent="0.25">
      <c r="B29" s="31">
        <v>26</v>
      </c>
      <c r="C29" s="43" t="s">
        <v>808</v>
      </c>
      <c r="D29" s="31">
        <v>1</v>
      </c>
      <c r="E29" s="31" t="s">
        <v>760</v>
      </c>
      <c r="F29" s="44">
        <v>51500</v>
      </c>
      <c r="G29" s="44">
        <f t="shared" si="1"/>
        <v>51500</v>
      </c>
      <c r="H29" s="31" t="s">
        <v>771</v>
      </c>
      <c r="I29" s="31"/>
    </row>
    <row r="30" spans="2:10" x14ac:dyDescent="0.25">
      <c r="B30" s="31">
        <v>27</v>
      </c>
      <c r="C30" s="43" t="s">
        <v>809</v>
      </c>
      <c r="D30" s="45">
        <v>46.8</v>
      </c>
      <c r="E30" s="31" t="s">
        <v>759</v>
      </c>
      <c r="F30" s="44">
        <v>670</v>
      </c>
      <c r="G30" s="44">
        <f t="shared" si="1"/>
        <v>31355.999999999996</v>
      </c>
      <c r="H30" s="31" t="s">
        <v>771</v>
      </c>
      <c r="I30" s="31"/>
      <c r="J30" s="15" t="s">
        <v>812</v>
      </c>
    </row>
    <row r="31" spans="2:10" x14ac:dyDescent="0.25">
      <c r="B31" s="31">
        <v>28</v>
      </c>
      <c r="C31" s="43" t="s">
        <v>810</v>
      </c>
      <c r="D31" s="45">
        <v>37.200000000000003</v>
      </c>
      <c r="E31" s="31" t="s">
        <v>759</v>
      </c>
      <c r="F31" s="44">
        <v>670</v>
      </c>
      <c r="G31" s="44">
        <f t="shared" si="1"/>
        <v>24924.000000000004</v>
      </c>
      <c r="H31" s="31" t="s">
        <v>771</v>
      </c>
      <c r="I31" s="31"/>
      <c r="J31" s="15" t="s">
        <v>812</v>
      </c>
    </row>
    <row r="32" spans="2:10" x14ac:dyDescent="0.25">
      <c r="B32" s="31">
        <v>29</v>
      </c>
      <c r="C32" s="43" t="s">
        <v>844</v>
      </c>
      <c r="D32" s="31">
        <v>30</v>
      </c>
      <c r="E32" s="31" t="s">
        <v>760</v>
      </c>
      <c r="F32" s="44">
        <v>120</v>
      </c>
      <c r="G32" s="44">
        <f t="shared" si="1"/>
        <v>3600</v>
      </c>
      <c r="H32" s="31" t="s">
        <v>771</v>
      </c>
      <c r="I32" s="31"/>
    </row>
    <row r="33" spans="2:9" x14ac:dyDescent="0.25">
      <c r="B33" s="31">
        <v>30</v>
      </c>
      <c r="C33" s="32" t="s">
        <v>850</v>
      </c>
      <c r="D33" s="33">
        <v>10</v>
      </c>
      <c r="E33" s="33" t="s">
        <v>760</v>
      </c>
      <c r="F33" s="25">
        <v>420</v>
      </c>
      <c r="G33" s="25">
        <f t="shared" si="1"/>
        <v>4200</v>
      </c>
      <c r="H33" s="31" t="s">
        <v>902</v>
      </c>
      <c r="I33" s="31"/>
    </row>
    <row r="34" spans="2:9" x14ac:dyDescent="0.25">
      <c r="B34" s="31">
        <v>31</v>
      </c>
      <c r="C34" s="43" t="s">
        <v>898</v>
      </c>
      <c r="D34" s="33">
        <v>200</v>
      </c>
      <c r="E34" s="33" t="s">
        <v>761</v>
      </c>
      <c r="F34" s="25">
        <v>15</v>
      </c>
      <c r="G34" s="25">
        <f t="shared" si="1"/>
        <v>3000</v>
      </c>
      <c r="H34" s="31" t="s">
        <v>902</v>
      </c>
      <c r="I34" s="31"/>
    </row>
    <row r="35" spans="2:9" x14ac:dyDescent="0.25">
      <c r="B35" s="31">
        <v>32</v>
      </c>
      <c r="C35" s="32" t="s">
        <v>851</v>
      </c>
      <c r="D35" s="33">
        <v>1</v>
      </c>
      <c r="E35" s="33" t="s">
        <v>760</v>
      </c>
      <c r="F35" s="25">
        <f>119439/2</f>
        <v>59719.5</v>
      </c>
      <c r="G35" s="25">
        <f t="shared" si="1"/>
        <v>59719.5</v>
      </c>
      <c r="H35" s="31" t="s">
        <v>902</v>
      </c>
      <c r="I35" s="31"/>
    </row>
    <row r="36" spans="2:9" x14ac:dyDescent="0.25">
      <c r="B36" s="31">
        <v>33</v>
      </c>
      <c r="C36" s="32" t="s">
        <v>782</v>
      </c>
      <c r="D36" s="33">
        <v>8</v>
      </c>
      <c r="E36" s="33" t="s">
        <v>760</v>
      </c>
      <c r="F36" s="25">
        <v>280</v>
      </c>
      <c r="G36" s="25">
        <f t="shared" si="1"/>
        <v>2240</v>
      </c>
      <c r="H36" s="33" t="s">
        <v>576</v>
      </c>
      <c r="I36" s="31"/>
    </row>
    <row r="37" spans="2:9" x14ac:dyDescent="0.25">
      <c r="B37" s="31">
        <v>34</v>
      </c>
      <c r="C37" s="32" t="s">
        <v>783</v>
      </c>
      <c r="D37" s="33">
        <v>5</v>
      </c>
      <c r="E37" s="33" t="s">
        <v>760</v>
      </c>
      <c r="F37" s="25">
        <v>380</v>
      </c>
      <c r="G37" s="25">
        <f t="shared" si="1"/>
        <v>1900</v>
      </c>
      <c r="H37" s="33" t="s">
        <v>576</v>
      </c>
      <c r="I37" s="31"/>
    </row>
    <row r="38" spans="2:9" x14ac:dyDescent="0.25">
      <c r="B38" s="31">
        <v>35</v>
      </c>
      <c r="C38" s="32" t="s">
        <v>784</v>
      </c>
      <c r="D38" s="33">
        <v>2</v>
      </c>
      <c r="E38" s="33" t="s">
        <v>760</v>
      </c>
      <c r="F38" s="25">
        <v>290</v>
      </c>
      <c r="G38" s="25">
        <f t="shared" si="1"/>
        <v>580</v>
      </c>
      <c r="H38" s="33" t="s">
        <v>576</v>
      </c>
      <c r="I38" s="31"/>
    </row>
    <row r="39" spans="2:9" x14ac:dyDescent="0.25">
      <c r="B39" s="31">
        <v>36</v>
      </c>
      <c r="C39" s="32" t="s">
        <v>785</v>
      </c>
      <c r="D39" s="33">
        <v>2</v>
      </c>
      <c r="E39" s="33" t="s">
        <v>760</v>
      </c>
      <c r="F39" s="25">
        <v>290</v>
      </c>
      <c r="G39" s="25">
        <f t="shared" si="1"/>
        <v>580</v>
      </c>
      <c r="H39" s="33" t="s">
        <v>576</v>
      </c>
      <c r="I39" s="31"/>
    </row>
    <row r="40" spans="2:9" x14ac:dyDescent="0.25">
      <c r="B40" s="31">
        <v>37</v>
      </c>
      <c r="C40" s="43" t="s">
        <v>757</v>
      </c>
      <c r="D40" s="31">
        <f>(2000*1.05)*0.15</f>
        <v>315</v>
      </c>
      <c r="E40" s="31" t="s">
        <v>759</v>
      </c>
      <c r="F40" s="44">
        <v>670</v>
      </c>
      <c r="G40" s="44">
        <f t="shared" si="1"/>
        <v>211050</v>
      </c>
      <c r="H40" s="31" t="s">
        <v>635</v>
      </c>
      <c r="I40" s="31"/>
    </row>
    <row r="41" spans="2:9" x14ac:dyDescent="0.25">
      <c r="B41" s="31">
        <v>38</v>
      </c>
      <c r="C41" s="43" t="s">
        <v>775</v>
      </c>
      <c r="D41" s="45">
        <f>2000/13*2</f>
        <v>307.69230769230768</v>
      </c>
      <c r="E41" s="31" t="s">
        <v>760</v>
      </c>
      <c r="F41" s="44">
        <v>220.5</v>
      </c>
      <c r="G41" s="44">
        <f t="shared" si="1"/>
        <v>67846.153846153844</v>
      </c>
      <c r="H41" s="31" t="s">
        <v>635</v>
      </c>
      <c r="I41" s="31"/>
    </row>
    <row r="42" spans="2:9" x14ac:dyDescent="0.25">
      <c r="B42" s="31">
        <v>39</v>
      </c>
      <c r="C42" s="43" t="s">
        <v>758</v>
      </c>
      <c r="D42" s="31">
        <v>167</v>
      </c>
      <c r="E42" s="31" t="s">
        <v>797</v>
      </c>
      <c r="F42" s="44">
        <v>56.2</v>
      </c>
      <c r="G42" s="44">
        <f t="shared" si="1"/>
        <v>9385.4</v>
      </c>
      <c r="H42" s="31" t="s">
        <v>635</v>
      </c>
      <c r="I42" s="31"/>
    </row>
    <row r="43" spans="2:9" x14ac:dyDescent="0.25">
      <c r="B43" s="31">
        <v>40</v>
      </c>
      <c r="C43" s="43" t="s">
        <v>762</v>
      </c>
      <c r="D43" s="31">
        <v>1000</v>
      </c>
      <c r="E43" s="31" t="s">
        <v>763</v>
      </c>
      <c r="F43" s="44">
        <v>7.3</v>
      </c>
      <c r="G43" s="44">
        <f t="shared" si="1"/>
        <v>7300</v>
      </c>
      <c r="H43" s="31" t="s">
        <v>635</v>
      </c>
      <c r="I43" s="31"/>
    </row>
    <row r="44" spans="2:9" x14ac:dyDescent="0.25">
      <c r="B44" s="31">
        <v>41</v>
      </c>
      <c r="C44" s="43" t="s">
        <v>792</v>
      </c>
      <c r="D44" s="31">
        <v>315</v>
      </c>
      <c r="E44" s="31" t="s">
        <v>759</v>
      </c>
      <c r="F44" s="44">
        <v>50</v>
      </c>
      <c r="G44" s="44">
        <f t="shared" si="1"/>
        <v>15750</v>
      </c>
      <c r="H44" s="31" t="s">
        <v>635</v>
      </c>
      <c r="I44" s="31"/>
    </row>
    <row r="45" spans="2:9" x14ac:dyDescent="0.25">
      <c r="B45" s="31">
        <v>42</v>
      </c>
      <c r="C45" s="43" t="s">
        <v>768</v>
      </c>
      <c r="D45" s="31">
        <v>1</v>
      </c>
      <c r="E45" s="31" t="s">
        <v>760</v>
      </c>
      <c r="F45" s="44">
        <v>49800</v>
      </c>
      <c r="G45" s="44">
        <f t="shared" si="1"/>
        <v>49800</v>
      </c>
      <c r="H45" s="31" t="s">
        <v>635</v>
      </c>
      <c r="I45" s="31"/>
    </row>
    <row r="46" spans="2:9" x14ac:dyDescent="0.25">
      <c r="B46" s="31">
        <v>43</v>
      </c>
      <c r="C46" s="43" t="s">
        <v>919</v>
      </c>
      <c r="D46" s="31">
        <v>1</v>
      </c>
      <c r="E46" s="31" t="s">
        <v>760</v>
      </c>
      <c r="F46" s="44">
        <v>15000</v>
      </c>
      <c r="G46" s="44">
        <f t="shared" si="1"/>
        <v>15000</v>
      </c>
      <c r="H46" s="31" t="s">
        <v>837</v>
      </c>
      <c r="I46" s="31" t="s">
        <v>919</v>
      </c>
    </row>
    <row r="47" spans="2:9" x14ac:dyDescent="0.25">
      <c r="B47" s="31">
        <v>44</v>
      </c>
      <c r="C47" s="43" t="s">
        <v>786</v>
      </c>
      <c r="D47" s="31">
        <v>1</v>
      </c>
      <c r="E47" s="31" t="s">
        <v>760</v>
      </c>
      <c r="F47" s="44">
        <v>404191.96</v>
      </c>
      <c r="G47" s="44">
        <f t="shared" si="1"/>
        <v>404191.96</v>
      </c>
      <c r="H47" s="31" t="s">
        <v>837</v>
      </c>
      <c r="I47" s="31" t="s">
        <v>786</v>
      </c>
    </row>
    <row r="48" spans="2:9" x14ac:dyDescent="0.25">
      <c r="B48" s="31">
        <v>45</v>
      </c>
      <c r="C48" s="43" t="s">
        <v>921</v>
      </c>
      <c r="D48" s="31">
        <v>1</v>
      </c>
      <c r="E48" s="31" t="s">
        <v>760</v>
      </c>
      <c r="F48" s="44">
        <v>14503</v>
      </c>
      <c r="G48" s="44">
        <f>F48*D48</f>
        <v>14503</v>
      </c>
      <c r="H48" s="31" t="s">
        <v>837</v>
      </c>
      <c r="I48" s="31" t="s">
        <v>921</v>
      </c>
    </row>
    <row r="49" spans="2:9" x14ac:dyDescent="0.25">
      <c r="B49" s="31">
        <v>46</v>
      </c>
      <c r="C49" s="49" t="s">
        <v>845</v>
      </c>
      <c r="D49" s="31">
        <v>1455.89</v>
      </c>
      <c r="E49" s="31" t="s">
        <v>761</v>
      </c>
      <c r="F49" s="44">
        <v>95.9</v>
      </c>
      <c r="G49" s="44">
        <f t="shared" si="1"/>
        <v>139619.85100000002</v>
      </c>
      <c r="H49" s="31" t="s">
        <v>791</v>
      </c>
      <c r="I49" s="31"/>
    </row>
    <row r="50" spans="2:9" x14ac:dyDescent="0.25">
      <c r="B50" s="31">
        <v>47</v>
      </c>
      <c r="C50" s="43" t="s">
        <v>846</v>
      </c>
      <c r="D50" s="31">
        <v>706.94</v>
      </c>
      <c r="E50" s="31" t="s">
        <v>761</v>
      </c>
      <c r="F50" s="44">
        <v>95.9</v>
      </c>
      <c r="G50" s="44">
        <f t="shared" si="1"/>
        <v>67795.546000000002</v>
      </c>
      <c r="H50" s="31" t="s">
        <v>791</v>
      </c>
      <c r="I50" s="31"/>
    </row>
    <row r="51" spans="2:9" x14ac:dyDescent="0.25">
      <c r="B51" s="31">
        <v>48</v>
      </c>
      <c r="C51" s="46" t="s">
        <v>847</v>
      </c>
      <c r="D51" s="31">
        <v>44</v>
      </c>
      <c r="E51" s="31" t="s">
        <v>818</v>
      </c>
      <c r="F51" s="44">
        <v>95</v>
      </c>
      <c r="G51" s="44">
        <f t="shared" si="1"/>
        <v>4180</v>
      </c>
      <c r="H51" s="31" t="s">
        <v>791</v>
      </c>
      <c r="I51" s="31"/>
    </row>
    <row r="52" spans="2:9" x14ac:dyDescent="0.25">
      <c r="B52" s="31">
        <v>49</v>
      </c>
      <c r="C52" s="46" t="s">
        <v>848</v>
      </c>
      <c r="D52" s="31">
        <v>3</v>
      </c>
      <c r="E52" s="31" t="s">
        <v>818</v>
      </c>
      <c r="F52" s="44">
        <v>35</v>
      </c>
      <c r="G52" s="44">
        <f t="shared" si="1"/>
        <v>105</v>
      </c>
      <c r="H52" s="31" t="s">
        <v>791</v>
      </c>
      <c r="I52" s="31"/>
    </row>
    <row r="53" spans="2:9" x14ac:dyDescent="0.25">
      <c r="B53" s="31">
        <v>50</v>
      </c>
      <c r="C53" s="46" t="s">
        <v>849</v>
      </c>
      <c r="D53" s="31">
        <v>126</v>
      </c>
      <c r="E53" s="31" t="s">
        <v>760</v>
      </c>
      <c r="F53" s="44">
        <v>25.9</v>
      </c>
      <c r="G53" s="44">
        <f t="shared" si="1"/>
        <v>3263.3999999999996</v>
      </c>
      <c r="H53" s="31" t="s">
        <v>791</v>
      </c>
      <c r="I53" s="31"/>
    </row>
    <row r="54" spans="2:9" x14ac:dyDescent="0.25">
      <c r="B54" s="31">
        <v>51</v>
      </c>
      <c r="C54" s="46" t="s">
        <v>817</v>
      </c>
      <c r="D54" s="31">
        <v>1</v>
      </c>
      <c r="E54" s="31" t="s">
        <v>760</v>
      </c>
      <c r="F54" s="44">
        <v>1750</v>
      </c>
      <c r="G54" s="44">
        <f>F54*D54</f>
        <v>1750</v>
      </c>
      <c r="H54" s="31" t="s">
        <v>791</v>
      </c>
      <c r="I54" s="31"/>
    </row>
    <row r="55" spans="2:9" x14ac:dyDescent="0.25">
      <c r="B55" s="31">
        <v>52</v>
      </c>
      <c r="C55" s="43" t="s">
        <v>781</v>
      </c>
      <c r="D55" s="31">
        <v>1</v>
      </c>
      <c r="E55" s="31" t="s">
        <v>760</v>
      </c>
      <c r="F55" s="44">
        <v>174417.38</v>
      </c>
      <c r="G55" s="44">
        <f>F55*D55</f>
        <v>174417.38</v>
      </c>
      <c r="H55" s="31" t="s">
        <v>780</v>
      </c>
      <c r="I55" s="31"/>
    </row>
    <row r="56" spans="2:9" x14ac:dyDescent="0.25">
      <c r="B56" s="31">
        <v>53</v>
      </c>
      <c r="C56" s="32" t="s">
        <v>814</v>
      </c>
      <c r="D56" s="33">
        <v>1</v>
      </c>
      <c r="E56" s="33" t="s">
        <v>760</v>
      </c>
      <c r="F56" s="25">
        <v>5000</v>
      </c>
      <c r="G56" s="25">
        <f>F56*D56</f>
        <v>5000</v>
      </c>
      <c r="H56" s="33" t="s">
        <v>815</v>
      </c>
      <c r="I56" s="31"/>
    </row>
    <row r="57" spans="2:9" x14ac:dyDescent="0.25">
      <c r="B57" s="33"/>
      <c r="C57" s="32"/>
      <c r="D57" s="33"/>
      <c r="E57" s="33"/>
      <c r="F57" s="20"/>
      <c r="G57" s="20"/>
      <c r="H57" s="33"/>
      <c r="I57" s="33"/>
    </row>
    <row r="58" spans="2:9" x14ac:dyDescent="0.25">
      <c r="B58" s="33"/>
      <c r="C58" s="32"/>
      <c r="D58" s="33"/>
      <c r="E58" s="33"/>
      <c r="H58" s="33"/>
      <c r="I58" s="33"/>
    </row>
    <row r="59" spans="2:9" x14ac:dyDescent="0.25">
      <c r="G59" s="16">
        <f>SUM(Tabela2[Preço Total])</f>
        <v>4373389.0038461545</v>
      </c>
    </row>
    <row r="85" spans="8:9" x14ac:dyDescent="0.25">
      <c r="H85" s="26">
        <f>SUM('Expansão DMP'!G59,H81)</f>
        <v>4373389.0038461545</v>
      </c>
      <c r="I8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"/>
  <sheetViews>
    <sheetView workbookViewId="0">
      <selection activeCell="D13" sqref="D13"/>
    </sheetView>
  </sheetViews>
  <sheetFormatPr defaultRowHeight="15" x14ac:dyDescent="0.25"/>
  <cols>
    <col min="1" max="1" width="19.42578125" bestFit="1" customWidth="1"/>
  </cols>
  <sheetData>
    <row r="2" spans="1:2" x14ac:dyDescent="0.25">
      <c r="A2" s="20" t="s">
        <v>927</v>
      </c>
      <c r="B2" s="20" t="s">
        <v>928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DMP'!G59</f>
        <v>4373389.0038461545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 t="shared" ref="E7:E20" si="0">D7/$D$2</f>
        <v>0.27915414542962674</v>
      </c>
      <c r="F7" s="41">
        <f>E7</f>
        <v>0.27915414542962674</v>
      </c>
      <c r="G7" s="14" t="s">
        <v>913</v>
      </c>
    </row>
    <row r="8" spans="3:8" x14ac:dyDescent="0.25">
      <c r="C8" t="s">
        <v>779</v>
      </c>
      <c r="D8" s="40">
        <f>SUMIF(Tabela2[Aplicação],"AVCB",Tabela2[Preço Total])</f>
        <v>0</v>
      </c>
      <c r="E8" s="41">
        <f t="shared" si="0"/>
        <v>0</v>
      </c>
      <c r="F8" s="41">
        <f t="shared" ref="F8:F20" si="1">F7+E8</f>
        <v>0.27915414542962674</v>
      </c>
      <c r="G8" s="14" t="s">
        <v>913</v>
      </c>
    </row>
    <row r="9" spans="3:8" x14ac:dyDescent="0.25">
      <c r="C9" t="s">
        <v>419</v>
      </c>
      <c r="D9" s="40">
        <f>SUMIF(Tabela2[Aplicação],"SPDA",Tabela2[Preço Total])</f>
        <v>0</v>
      </c>
      <c r="E9" s="41">
        <f t="shared" si="0"/>
        <v>0</v>
      </c>
      <c r="F9" s="41">
        <f t="shared" si="1"/>
        <v>0.27915414542962674</v>
      </c>
      <c r="G9" s="14" t="s">
        <v>913</v>
      </c>
    </row>
    <row r="10" spans="3:8" x14ac:dyDescent="0.25">
      <c r="C10" t="s">
        <v>635</v>
      </c>
      <c r="D10" s="40">
        <f>SUMIF(Tabela2[Aplicação],"Piso",Tabela2[Preço Total])</f>
        <v>361131.5538461539</v>
      </c>
      <c r="E10" s="41">
        <f t="shared" si="0"/>
        <v>8.2574761478697328E-2</v>
      </c>
      <c r="F10" s="41">
        <f t="shared" si="1"/>
        <v>0.36172890690832404</v>
      </c>
      <c r="G10" s="14" t="s">
        <v>913</v>
      </c>
    </row>
    <row r="11" spans="3:8" x14ac:dyDescent="0.25">
      <c r="C11" t="s">
        <v>791</v>
      </c>
      <c r="D11" s="40">
        <f>SUMIF(Tabela2[Aplicação],"Telhado",Tabela2[Preço Total])</f>
        <v>216713.79700000002</v>
      </c>
      <c r="E11" s="41">
        <f t="shared" si="0"/>
        <v>4.9552828895259984E-2</v>
      </c>
      <c r="F11" s="41">
        <f t="shared" si="1"/>
        <v>0.41128173580358401</v>
      </c>
      <c r="G11" s="14" t="s">
        <v>914</v>
      </c>
    </row>
    <row r="12" spans="3:8" x14ac:dyDescent="0.25">
      <c r="C12" t="s">
        <v>780</v>
      </c>
      <c r="D12" s="40">
        <f>SUMIF(Tabela2[Aplicação],"Terraplanagem",Tabela2[Preço Total])</f>
        <v>174417.38</v>
      </c>
      <c r="E12" s="41">
        <f t="shared" si="0"/>
        <v>3.9881515192590811E-2</v>
      </c>
      <c r="F12" s="41">
        <f t="shared" si="1"/>
        <v>0.45116325099617482</v>
      </c>
      <c r="G12" s="14" t="s">
        <v>914</v>
      </c>
    </row>
    <row r="13" spans="3:8" x14ac:dyDescent="0.25">
      <c r="C13" t="s">
        <v>771</v>
      </c>
      <c r="D13" s="40">
        <f>SUMIF(Tabela2[Aplicação],"Fundação",Tabela2[Preço Total])</f>
        <v>164340</v>
      </c>
      <c r="E13" s="41">
        <f t="shared" si="0"/>
        <v>3.7577265561209404E-2</v>
      </c>
      <c r="F13" s="41">
        <f t="shared" si="1"/>
        <v>0.48874051655738421</v>
      </c>
      <c r="G13" s="14" t="s">
        <v>915</v>
      </c>
    </row>
    <row r="14" spans="3:8" x14ac:dyDescent="0.25">
      <c r="C14" t="s">
        <v>774</v>
      </c>
      <c r="D14" s="40">
        <f>SUMIF(Tabela2[Aplicação],"Fechamento Lateral",Tabela2[Preço Total])</f>
        <v>79138.372999999992</v>
      </c>
      <c r="E14" s="41">
        <f t="shared" si="0"/>
        <v>1.809543421140954E-2</v>
      </c>
      <c r="F14" s="41">
        <f t="shared" si="1"/>
        <v>0.50683595076879373</v>
      </c>
      <c r="G14" s="14" t="s">
        <v>915</v>
      </c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 t="shared" si="0"/>
        <v>4.945062051644738E-3</v>
      </c>
      <c r="F15" s="41">
        <f t="shared" si="1"/>
        <v>0.51178101282043842</v>
      </c>
      <c r="G15" s="14" t="s">
        <v>915</v>
      </c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 t="shared" si="0"/>
        <v>4.2341511317001077E-3</v>
      </c>
      <c r="F16" s="41">
        <f t="shared" si="1"/>
        <v>0.51601516395213853</v>
      </c>
      <c r="G16" s="14" t="s">
        <v>915</v>
      </c>
    </row>
    <row r="17" spans="3:7" x14ac:dyDescent="0.25">
      <c r="C17" t="s">
        <v>902</v>
      </c>
      <c r="D17" s="40">
        <f>SUMIF(Tabela2[Aplicação],"Iluminação Galpão",Tabela2[Preço Total])</f>
        <v>66919.5</v>
      </c>
      <c r="E17" s="41">
        <f t="shared" si="0"/>
        <v>1.5301520157742197E-2</v>
      </c>
      <c r="F17" s="41">
        <f t="shared" si="1"/>
        <v>0.53131668410988075</v>
      </c>
      <c r="G17" s="14" t="s">
        <v>915</v>
      </c>
    </row>
    <row r="18" spans="3:7" x14ac:dyDescent="0.25">
      <c r="C18" t="s">
        <v>576</v>
      </c>
      <c r="D18" s="40">
        <f>SUMIF(Tabela2[Aplicação],"Pintura",Tabela2[Preço Total])</f>
        <v>5300</v>
      </c>
      <c r="E18" s="41">
        <f t="shared" si="0"/>
        <v>1.2118748172959099E-3</v>
      </c>
      <c r="F18" s="41">
        <f t="shared" si="1"/>
        <v>0.53252855892717665</v>
      </c>
      <c r="G18" s="14" t="s">
        <v>915</v>
      </c>
    </row>
    <row r="19" spans="3:7" x14ac:dyDescent="0.25">
      <c r="C19" t="s">
        <v>815</v>
      </c>
      <c r="D19" s="40">
        <f>SUMIF(Tabela2[Aplicação],"Topografia",Tabela2[Preço Total])</f>
        <v>5000</v>
      </c>
      <c r="E19" s="41">
        <f t="shared" si="0"/>
        <v>1.1432781295244432E-3</v>
      </c>
      <c r="F19" s="41">
        <f t="shared" si="1"/>
        <v>0.53367183705670107</v>
      </c>
      <c r="G19" s="14" t="s">
        <v>915</v>
      </c>
    </row>
    <row r="20" spans="3:7" x14ac:dyDescent="0.25">
      <c r="C20" t="s">
        <v>798</v>
      </c>
      <c r="D20" s="40">
        <f>SUMIF(Tabela2[Aplicação],"Armazenamento",Tabela2[Preço Total])</f>
        <v>1177977.5</v>
      </c>
      <c r="E20" s="41">
        <f t="shared" si="0"/>
        <v>0.26935118256437596</v>
      </c>
      <c r="F20" s="41">
        <f t="shared" si="1"/>
        <v>0.80302301962107703</v>
      </c>
      <c r="G20" s="14" t="s">
        <v>915</v>
      </c>
    </row>
    <row r="21" spans="3:7" x14ac:dyDescent="0.25">
      <c r="D21" s="40"/>
      <c r="E21" s="38"/>
      <c r="F21" s="38"/>
    </row>
    <row r="22" spans="3:7" x14ac:dyDescent="0.25">
      <c r="D22" s="40"/>
      <c r="E22" s="38"/>
      <c r="F22" s="38"/>
    </row>
    <row r="23" spans="3:7" x14ac:dyDescent="0.25">
      <c r="D23" s="40"/>
      <c r="E23" s="38"/>
      <c r="F23" s="38"/>
    </row>
    <row r="24" spans="3:7" x14ac:dyDescent="0.25">
      <c r="D24" s="40"/>
      <c r="E24" s="38"/>
      <c r="F24" s="38"/>
    </row>
    <row r="25" spans="3:7" x14ac:dyDescent="0.25">
      <c r="D25" s="40"/>
      <c r="E25" s="38"/>
      <c r="F25" s="38"/>
    </row>
    <row r="26" spans="3:7" x14ac:dyDescent="0.25">
      <c r="D26" s="40"/>
      <c r="E26" s="38"/>
      <c r="F26" s="38"/>
    </row>
    <row r="27" spans="3:7" x14ac:dyDescent="0.25">
      <c r="D27" s="40"/>
      <c r="E27" s="38"/>
      <c r="F27" s="38"/>
    </row>
    <row r="28" spans="3:7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EAP_Cronograma</vt:lpstr>
      <vt:lpstr>DPA IV</vt:lpstr>
      <vt:lpstr> ABC DPA IV</vt:lpstr>
      <vt:lpstr>Expansão DMP</vt:lpstr>
      <vt:lpstr>Prazo de Execução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2026-10-22T18:23:55Z</dcterms:modified>
</cp:coreProperties>
</file>