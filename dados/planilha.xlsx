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3" i="3" l="1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7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6" i="3"/>
  <c r="J15" i="3" s="1"/>
  <c r="O7" i="6" l="1"/>
  <c r="O21" i="6" s="1"/>
  <c r="P11" i="6" s="1"/>
  <c r="G21" i="3"/>
  <c r="G16" i="3"/>
  <c r="G40" i="3"/>
  <c r="G41" i="3"/>
  <c r="G42" i="3"/>
  <c r="G43" i="3"/>
  <c r="G39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29" i="3"/>
  <c r="G9" i="3"/>
  <c r="Q6" i="6" l="1"/>
  <c r="H51" i="6"/>
  <c r="G28" i="3"/>
  <c r="G27" i="3"/>
  <c r="G26" i="3"/>
  <c r="G25" i="3"/>
  <c r="J13" i="3" s="1"/>
  <c r="G8" i="3"/>
  <c r="G7" i="3"/>
  <c r="J12" i="3" s="1"/>
  <c r="G15" i="3"/>
  <c r="G14" i="3"/>
  <c r="G13" i="3"/>
  <c r="G12" i="3"/>
  <c r="G6" i="3"/>
  <c r="G5" i="3"/>
  <c r="D30" i="3"/>
  <c r="J11" i="3" l="1"/>
  <c r="G10" i="3"/>
  <c r="G11" i="3"/>
  <c r="G4" i="3"/>
  <c r="J8" i="3" s="1"/>
  <c r="G38" i="3"/>
  <c r="J9" i="3" s="1"/>
  <c r="G44" i="3"/>
  <c r="J10" i="3" s="1"/>
  <c r="G24" i="3"/>
  <c r="G30" i="3"/>
  <c r="G31" i="3"/>
  <c r="G32" i="3"/>
  <c r="G33" i="3"/>
  <c r="G34" i="3"/>
  <c r="G18" i="3"/>
  <c r="G19" i="3"/>
  <c r="G35" i="3"/>
  <c r="J6" i="3" s="1"/>
  <c r="G22" i="3"/>
  <c r="G29" i="3"/>
  <c r="J7" i="3" l="1"/>
  <c r="J4" i="3"/>
  <c r="J5" i="3"/>
  <c r="G47" i="3"/>
</calcChain>
</file>

<file path=xl/sharedStrings.xml><?xml version="1.0" encoding="utf-8"?>
<sst xmlns="http://schemas.openxmlformats.org/spreadsheetml/2006/main" count="2111" uniqueCount="850">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</sst>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4" totalsRowShown="0" dataDxfId="7">
  <autoFilter ref="B3:H44"/>
  <sortState ref="B4:H43">
    <sortCondition ref="H3:H4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16">
  <autoFilter ref="B3:I48"/>
  <sortState ref="B4:I48">
    <sortCondition ref="I3:I48"/>
  </sortState>
  <tableColumns count="8">
    <tableColumn id="1" name="Item" dataDxfId="15" dataCellStyle="Normal"/>
    <tableColumn id="8" name="Local" dataDxfId="14"/>
    <tableColumn id="2" name="Descrição" dataDxfId="13" dataCellStyle="Normal"/>
    <tableColumn id="3" name="Quantidade" dataDxfId="12" dataCellStyle="Normal"/>
    <tableColumn id="4" name="Unidade" dataDxfId="11" dataCellStyle="Normal"/>
    <tableColumn id="5" name="Preço Unitário" dataDxfId="10" dataCellStyle="Moeda"/>
    <tableColumn id="6" name="Preço Total" dataDxfId="9" dataCellStyle="Moeda">
      <calculatedColumnFormula>G4*E4</calculatedColumnFormula>
    </tableColumn>
    <tableColumn id="7" name="Aplicação" dataDxfId="8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7"/>
  <sheetViews>
    <sheetView tabSelected="1" workbookViewId="0">
      <selection activeCell="D27" sqref="D27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829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786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25" t="s">
        <v>793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794</v>
      </c>
      <c r="D8" s="24">
        <v>500</v>
      </c>
      <c r="E8" s="24" t="s">
        <v>761</v>
      </c>
      <c r="F8" s="26"/>
      <c r="G8" s="26">
        <f>F8*D8</f>
        <v>0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797</v>
      </c>
      <c r="D9" s="24"/>
      <c r="E9" s="24"/>
      <c r="F9" s="26"/>
      <c r="G9" s="26">
        <f>F9*D9</f>
        <v>0</v>
      </c>
      <c r="H9" s="24" t="s">
        <v>800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804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802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785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801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</row>
    <row r="17" spans="2:9" x14ac:dyDescent="0.25">
      <c r="B17" s="27">
        <v>14</v>
      </c>
      <c r="C17" s="18" t="s">
        <v>799</v>
      </c>
      <c r="D17" s="17">
        <v>1</v>
      </c>
      <c r="E17" s="17" t="s">
        <v>760</v>
      </c>
      <c r="F17" s="20">
        <v>4500</v>
      </c>
      <c r="G17" s="20">
        <f>F17*D17</f>
        <v>4500</v>
      </c>
      <c r="H17" s="17" t="s">
        <v>771</v>
      </c>
    </row>
    <row r="18" spans="2:9" x14ac:dyDescent="0.25">
      <c r="B18" s="27">
        <v>15</v>
      </c>
      <c r="C18" s="18" t="s">
        <v>769</v>
      </c>
      <c r="D18" s="17">
        <v>2100</v>
      </c>
      <c r="E18" s="17" t="s">
        <v>848</v>
      </c>
      <c r="F18" s="20"/>
      <c r="G18" s="20">
        <f>F18*D18</f>
        <v>0</v>
      </c>
      <c r="H18" s="17" t="s">
        <v>771</v>
      </c>
      <c r="I18" s="14" t="s">
        <v>849</v>
      </c>
    </row>
    <row r="19" spans="2:9" x14ac:dyDescent="0.25">
      <c r="B19" s="27">
        <v>16</v>
      </c>
      <c r="C19" s="18" t="s">
        <v>770</v>
      </c>
      <c r="D19" s="17">
        <v>2300</v>
      </c>
      <c r="E19" s="17" t="s">
        <v>848</v>
      </c>
      <c r="F19" s="20"/>
      <c r="G19" s="20">
        <f>F19*D19</f>
        <v>0</v>
      </c>
      <c r="H19" s="17" t="s">
        <v>771</v>
      </c>
      <c r="I19" s="14" t="s">
        <v>849</v>
      </c>
    </row>
    <row r="20" spans="2:9" x14ac:dyDescent="0.25">
      <c r="B20" s="27">
        <v>17</v>
      </c>
      <c r="C20" s="18" t="s">
        <v>845</v>
      </c>
      <c r="D20" s="17">
        <v>1</v>
      </c>
      <c r="E20" s="17" t="s">
        <v>760</v>
      </c>
      <c r="F20" s="20">
        <v>51500</v>
      </c>
      <c r="G20" s="20">
        <f>F20*D20</f>
        <v>51500</v>
      </c>
      <c r="H20" s="17" t="s">
        <v>771</v>
      </c>
    </row>
    <row r="21" spans="2:9" x14ac:dyDescent="0.25">
      <c r="B21" s="27">
        <v>18</v>
      </c>
      <c r="C21" s="18" t="s">
        <v>838</v>
      </c>
      <c r="D21" s="17">
        <v>1</v>
      </c>
      <c r="E21" s="17" t="s">
        <v>760</v>
      </c>
      <c r="F21" s="20">
        <v>180000</v>
      </c>
      <c r="G21" s="20">
        <f>F21*D21</f>
        <v>180000</v>
      </c>
      <c r="H21" s="17" t="s">
        <v>771</v>
      </c>
    </row>
    <row r="22" spans="2:9" x14ac:dyDescent="0.25">
      <c r="B22" s="27">
        <v>19</v>
      </c>
      <c r="C22" s="18" t="s">
        <v>846</v>
      </c>
      <c r="D22" s="23">
        <v>46.8</v>
      </c>
      <c r="E22" s="17" t="s">
        <v>759</v>
      </c>
      <c r="F22" s="20">
        <v>670</v>
      </c>
      <c r="G22" s="20">
        <f>F22*D22</f>
        <v>31355.999999999996</v>
      </c>
      <c r="H22" s="17" t="s">
        <v>771</v>
      </c>
    </row>
    <row r="23" spans="2:9" x14ac:dyDescent="0.25">
      <c r="B23" s="27">
        <v>20</v>
      </c>
      <c r="C23" s="18" t="s">
        <v>847</v>
      </c>
      <c r="D23" s="23">
        <v>37.200000000000003</v>
      </c>
      <c r="E23" s="17" t="s">
        <v>759</v>
      </c>
      <c r="F23" s="20">
        <v>670</v>
      </c>
      <c r="G23" s="20">
        <f>F23*D23</f>
        <v>24924.000000000004</v>
      </c>
      <c r="H23" s="17" t="s">
        <v>771</v>
      </c>
    </row>
    <row r="24" spans="2:9" x14ac:dyDescent="0.25">
      <c r="B24" s="27">
        <v>22</v>
      </c>
      <c r="C24" s="21" t="s">
        <v>779</v>
      </c>
      <c r="D24" s="22"/>
      <c r="E24" s="22"/>
      <c r="F24" s="19"/>
      <c r="G24" s="19">
        <f>F24*D24</f>
        <v>0</v>
      </c>
      <c r="H24" s="22" t="s">
        <v>771</v>
      </c>
    </row>
    <row r="25" spans="2:9" x14ac:dyDescent="0.25">
      <c r="B25" s="27">
        <v>23</v>
      </c>
      <c r="C25" s="25" t="s">
        <v>789</v>
      </c>
      <c r="D25" s="24"/>
      <c r="E25" s="24"/>
      <c r="F25" s="26"/>
      <c r="G25" s="26">
        <f>F25*D25</f>
        <v>0</v>
      </c>
      <c r="H25" s="24" t="s">
        <v>576</v>
      </c>
    </row>
    <row r="26" spans="2:9" x14ac:dyDescent="0.25">
      <c r="B26" s="27">
        <v>24</v>
      </c>
      <c r="C26" s="25" t="s">
        <v>790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25</v>
      </c>
      <c r="C27" s="25" t="s">
        <v>791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7">
        <v>26</v>
      </c>
      <c r="C28" s="25" t="s">
        <v>792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7">
        <v>27</v>
      </c>
      <c r="C29" s="31" t="s">
        <v>757</v>
      </c>
      <c r="D29" s="27">
        <f>(2000*1.05)*0.15</f>
        <v>315</v>
      </c>
      <c r="E29" s="27" t="s">
        <v>759</v>
      </c>
      <c r="F29" s="32">
        <v>670</v>
      </c>
      <c r="G29" s="32">
        <f>F29*D29</f>
        <v>211050</v>
      </c>
      <c r="H29" s="27" t="s">
        <v>635</v>
      </c>
    </row>
    <row r="30" spans="2:9" x14ac:dyDescent="0.25">
      <c r="B30" s="27">
        <v>28</v>
      </c>
      <c r="C30" s="31" t="s">
        <v>777</v>
      </c>
      <c r="D30" s="33">
        <f>2000/13*2</f>
        <v>307.69230769230768</v>
      </c>
      <c r="E30" s="27" t="s">
        <v>760</v>
      </c>
      <c r="F30" s="32">
        <v>220.5</v>
      </c>
      <c r="G30" s="32">
        <f>F30*D30</f>
        <v>67846.153846153844</v>
      </c>
      <c r="H30" s="27" t="s">
        <v>635</v>
      </c>
    </row>
    <row r="31" spans="2:9" x14ac:dyDescent="0.25">
      <c r="B31" s="27">
        <v>29</v>
      </c>
      <c r="C31" s="31" t="s">
        <v>758</v>
      </c>
      <c r="D31" s="27">
        <v>167</v>
      </c>
      <c r="E31" s="27" t="s">
        <v>819</v>
      </c>
      <c r="F31" s="32">
        <v>56.2</v>
      </c>
      <c r="G31" s="32">
        <f>F31*D31</f>
        <v>9385.4</v>
      </c>
      <c r="H31" s="27" t="s">
        <v>635</v>
      </c>
    </row>
    <row r="32" spans="2:9" x14ac:dyDescent="0.25">
      <c r="B32" s="27">
        <v>30</v>
      </c>
      <c r="C32" s="31" t="s">
        <v>762</v>
      </c>
      <c r="D32" s="27">
        <v>1000</v>
      </c>
      <c r="E32" s="27" t="s">
        <v>763</v>
      </c>
      <c r="F32" s="32">
        <v>7.3</v>
      </c>
      <c r="G32" s="32">
        <f>F32*D32</f>
        <v>7300</v>
      </c>
      <c r="H32" s="27" t="s">
        <v>635</v>
      </c>
    </row>
    <row r="33" spans="2:8" x14ac:dyDescent="0.25">
      <c r="B33" s="27">
        <v>31</v>
      </c>
      <c r="C33" s="31" t="s">
        <v>809</v>
      </c>
      <c r="D33" s="27">
        <v>315</v>
      </c>
      <c r="E33" s="27" t="s">
        <v>759</v>
      </c>
      <c r="F33" s="32">
        <v>50</v>
      </c>
      <c r="G33" s="32">
        <f>F33*D33</f>
        <v>15750</v>
      </c>
      <c r="H33" s="27" t="s">
        <v>635</v>
      </c>
    </row>
    <row r="34" spans="2:8" x14ac:dyDescent="0.25">
      <c r="B34" s="27">
        <v>32</v>
      </c>
      <c r="C34" s="31" t="s">
        <v>768</v>
      </c>
      <c r="D34" s="27">
        <v>1</v>
      </c>
      <c r="E34" s="27" t="s">
        <v>760</v>
      </c>
      <c r="F34" s="32">
        <v>49800</v>
      </c>
      <c r="G34" s="32">
        <f>F34*D34</f>
        <v>49800</v>
      </c>
      <c r="H34" s="27" t="s">
        <v>635</v>
      </c>
    </row>
    <row r="35" spans="2:8" x14ac:dyDescent="0.25">
      <c r="B35" s="27">
        <v>33</v>
      </c>
      <c r="C35" s="31" t="s">
        <v>773</v>
      </c>
      <c r="D35" s="27">
        <v>1</v>
      </c>
      <c r="E35" s="27" t="s">
        <v>760</v>
      </c>
      <c r="F35" s="32">
        <v>1267174</v>
      </c>
      <c r="G35" s="32">
        <f>F35*D35</f>
        <v>1267174</v>
      </c>
      <c r="H35" s="27" t="s">
        <v>772</v>
      </c>
    </row>
    <row r="36" spans="2:8" x14ac:dyDescent="0.25">
      <c r="B36" s="27">
        <v>34</v>
      </c>
      <c r="C36" s="25" t="s">
        <v>811</v>
      </c>
      <c r="D36" s="24">
        <v>1</v>
      </c>
      <c r="E36" s="24" t="s">
        <v>760</v>
      </c>
      <c r="F36" s="26"/>
      <c r="G36" s="26">
        <f>F36*D36</f>
        <v>0</v>
      </c>
      <c r="H36" s="24" t="s">
        <v>812</v>
      </c>
    </row>
    <row r="37" spans="2:8" x14ac:dyDescent="0.25">
      <c r="B37" s="27">
        <v>35</v>
      </c>
      <c r="C37" s="25" t="s">
        <v>824</v>
      </c>
      <c r="D37" s="24">
        <v>1</v>
      </c>
      <c r="E37" s="24" t="s">
        <v>760</v>
      </c>
      <c r="F37" s="26"/>
      <c r="G37" s="26">
        <f>F37*D37</f>
        <v>0</v>
      </c>
      <c r="H37" s="24" t="s">
        <v>812</v>
      </c>
    </row>
    <row r="38" spans="2:8" x14ac:dyDescent="0.25">
      <c r="B38" s="27">
        <v>36</v>
      </c>
      <c r="C38" s="21" t="s">
        <v>795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7">
        <v>37</v>
      </c>
      <c r="C39" s="31" t="s">
        <v>805</v>
      </c>
      <c r="D39" s="27">
        <v>252</v>
      </c>
      <c r="E39" s="27" t="s">
        <v>761</v>
      </c>
      <c r="F39" s="36">
        <v>269.5</v>
      </c>
      <c r="G39" s="36">
        <f>Tabela2[[#This Row],[Preço Unitário]]*Tabela2[[#This Row],[Quantidade]]</f>
        <v>67914</v>
      </c>
      <c r="H39" s="27" t="s">
        <v>803</v>
      </c>
    </row>
    <row r="40" spans="2:8" x14ac:dyDescent="0.25">
      <c r="B40" s="27">
        <v>38</v>
      </c>
      <c r="C40" s="31" t="s">
        <v>805</v>
      </c>
      <c r="D40" s="27">
        <v>84</v>
      </c>
      <c r="E40" s="27" t="s">
        <v>761</v>
      </c>
      <c r="F40" s="36">
        <v>115.5</v>
      </c>
      <c r="G40" s="36">
        <f>Tabela2[[#This Row],[Preço Unitário]]*Tabela2[[#This Row],[Quantidade]]</f>
        <v>9702</v>
      </c>
      <c r="H40" s="27" t="s">
        <v>803</v>
      </c>
    </row>
    <row r="41" spans="2:8" x14ac:dyDescent="0.25">
      <c r="B41" s="27">
        <v>39</v>
      </c>
      <c r="C41" s="31" t="s">
        <v>806</v>
      </c>
      <c r="D41" s="27">
        <v>42</v>
      </c>
      <c r="E41" s="27" t="s">
        <v>761</v>
      </c>
      <c r="F41" s="36">
        <v>35</v>
      </c>
      <c r="G41" s="36">
        <f>Tabela2[[#This Row],[Preço Unitário]]*Tabela2[[#This Row],[Quantidade]]</f>
        <v>1470</v>
      </c>
      <c r="H41" s="27" t="s">
        <v>803</v>
      </c>
    </row>
    <row r="42" spans="2:8" x14ac:dyDescent="0.25">
      <c r="B42" s="27">
        <v>40</v>
      </c>
      <c r="C42" s="31" t="s">
        <v>807</v>
      </c>
      <c r="D42" s="27">
        <v>4200</v>
      </c>
      <c r="E42" s="27" t="s">
        <v>760</v>
      </c>
      <c r="F42" s="36">
        <v>0.5</v>
      </c>
      <c r="G42" s="36">
        <f>Tabela2[[#This Row],[Preço Unitário]]*Tabela2[[#This Row],[Quantidade]]</f>
        <v>2100</v>
      </c>
      <c r="H42" s="27" t="s">
        <v>803</v>
      </c>
    </row>
    <row r="43" spans="2:8" x14ac:dyDescent="0.25">
      <c r="B43" s="27">
        <v>41</v>
      </c>
      <c r="C43" s="31" t="s">
        <v>808</v>
      </c>
      <c r="D43" s="27">
        <v>3100</v>
      </c>
      <c r="E43" s="27" t="s">
        <v>760</v>
      </c>
      <c r="F43" s="36">
        <v>0.5</v>
      </c>
      <c r="G43" s="36">
        <f>Tabela2[[#This Row],[Preço Unitário]]*Tabela2[[#This Row],[Quantidade]]</f>
        <v>1550</v>
      </c>
      <c r="H43" s="27" t="s">
        <v>803</v>
      </c>
    </row>
    <row r="44" spans="2:8" x14ac:dyDescent="0.25">
      <c r="B44" s="27">
        <v>42</v>
      </c>
      <c r="C44" s="31" t="s">
        <v>788</v>
      </c>
      <c r="D44" s="27">
        <v>1</v>
      </c>
      <c r="E44" s="27" t="s">
        <v>760</v>
      </c>
      <c r="F44" s="36">
        <v>157963.5</v>
      </c>
      <c r="G44" s="36">
        <f>F44*D44</f>
        <v>157963.5</v>
      </c>
      <c r="H44" s="27" t="s">
        <v>787</v>
      </c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B46" s="24"/>
      <c r="C46" s="25"/>
      <c r="D46" s="24"/>
      <c r="E46" s="24"/>
      <c r="F46" s="26"/>
      <c r="G46" s="26"/>
      <c r="H46" s="24"/>
    </row>
    <row r="47" spans="2:8" x14ac:dyDescent="0.25">
      <c r="G47" s="16">
        <f>SUM(Tabela2[Preço Total])</f>
        <v>2167285.0538461539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workbookViewId="0">
      <selection activeCell="G19" sqref="G19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835</v>
      </c>
    </row>
    <row r="2" spans="2:18" x14ac:dyDescent="0.25">
      <c r="P2" s="14" t="s">
        <v>836</v>
      </c>
    </row>
    <row r="3" spans="2:18" s="14" customFormat="1" x14ac:dyDescent="0.25">
      <c r="B3" s="14" t="s">
        <v>753</v>
      </c>
      <c r="C3" s="14" t="s">
        <v>814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837</v>
      </c>
    </row>
    <row r="4" spans="2:18" x14ac:dyDescent="0.25">
      <c r="B4" s="17">
        <v>1</v>
      </c>
      <c r="C4" s="17" t="s">
        <v>815</v>
      </c>
      <c r="D4" s="25" t="s">
        <v>797</v>
      </c>
      <c r="E4" s="24"/>
      <c r="F4" s="24"/>
      <c r="G4" s="26"/>
      <c r="H4" s="26">
        <f t="shared" ref="H4:H48" si="0">G4*E4</f>
        <v>0</v>
      </c>
      <c r="I4" s="24" t="s">
        <v>823</v>
      </c>
      <c r="O4" s="14" t="s">
        <v>829</v>
      </c>
      <c r="P4" s="14" t="s">
        <v>831</v>
      </c>
      <c r="Q4" s="14" t="s">
        <v>832</v>
      </c>
      <c r="R4" s="14" t="s">
        <v>833</v>
      </c>
    </row>
    <row r="5" spans="2:18" x14ac:dyDescent="0.25">
      <c r="B5" s="17">
        <v>2</v>
      </c>
      <c r="C5" s="17" t="s">
        <v>815</v>
      </c>
      <c r="D5" s="21" t="s">
        <v>778</v>
      </c>
      <c r="E5" s="22"/>
      <c r="F5" s="22"/>
      <c r="G5" s="19"/>
      <c r="H5" s="19">
        <f t="shared" si="0"/>
        <v>0</v>
      </c>
      <c r="I5" s="22" t="s">
        <v>786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834</v>
      </c>
    </row>
    <row r="6" spans="2:18" x14ac:dyDescent="0.25">
      <c r="B6" s="17">
        <v>3</v>
      </c>
      <c r="C6" s="17" t="s">
        <v>815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787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834</v>
      </c>
    </row>
    <row r="7" spans="2:18" x14ac:dyDescent="0.25">
      <c r="B7" s="17">
        <v>4</v>
      </c>
      <c r="C7" s="17" t="s">
        <v>815</v>
      </c>
      <c r="D7" s="21" t="s">
        <v>844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815</v>
      </c>
      <c r="D8" s="25" t="s">
        <v>793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820</v>
      </c>
      <c r="N8" s="45" t="s">
        <v>812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815</v>
      </c>
      <c r="D9" s="25" t="s">
        <v>794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818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815</v>
      </c>
      <c r="D10" s="25" t="s">
        <v>822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815</v>
      </c>
      <c r="D11" s="21" t="s">
        <v>841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842</v>
      </c>
      <c r="N11" s="41" t="s">
        <v>786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815</v>
      </c>
      <c r="D12" s="21" t="s">
        <v>843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842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815</v>
      </c>
      <c r="D13" s="21" t="s">
        <v>840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842</v>
      </c>
      <c r="N13" s="41"/>
      <c r="O13" s="40"/>
      <c r="P13" s="44"/>
    </row>
    <row r="14" spans="2:18" x14ac:dyDescent="0.25">
      <c r="B14" s="17">
        <v>11</v>
      </c>
      <c r="C14" s="17" t="s">
        <v>815</v>
      </c>
      <c r="D14" s="21" t="s">
        <v>841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815</v>
      </c>
      <c r="D15" s="21" t="s">
        <v>840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815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815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823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815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815</v>
      </c>
      <c r="D19" s="25" t="s">
        <v>827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815</v>
      </c>
      <c r="D20" s="18" t="s">
        <v>798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815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830</v>
      </c>
      <c r="O21" s="43">
        <f>SUM(O5:O17)</f>
        <v>2927819.11</v>
      </c>
    </row>
    <row r="22" spans="2:16" x14ac:dyDescent="0.25">
      <c r="B22" s="17">
        <v>19</v>
      </c>
      <c r="C22" s="17" t="s">
        <v>815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815</v>
      </c>
      <c r="D23" s="18" t="s">
        <v>839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815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815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815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815</v>
      </c>
      <c r="D27" s="25" t="s">
        <v>789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815</v>
      </c>
      <c r="D28" s="25" t="s">
        <v>790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815</v>
      </c>
      <c r="D29" s="25" t="s">
        <v>791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815</v>
      </c>
      <c r="D30" s="25" t="s">
        <v>792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815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815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815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815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815</v>
      </c>
      <c r="D35" s="18" t="s">
        <v>821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815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816</v>
      </c>
      <c r="D37" s="25" t="s">
        <v>826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816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816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816</v>
      </c>
      <c r="D40" s="25" t="s">
        <v>825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815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815</v>
      </c>
      <c r="D42" s="21" t="s">
        <v>796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816</v>
      </c>
      <c r="D43" s="25" t="s">
        <v>810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812</v>
      </c>
    </row>
    <row r="44" spans="2:9" x14ac:dyDescent="0.25">
      <c r="B44" s="17">
        <v>41</v>
      </c>
      <c r="C44" s="17" t="s">
        <v>816</v>
      </c>
      <c r="D44" s="25" t="s">
        <v>813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812</v>
      </c>
    </row>
    <row r="45" spans="2:9" x14ac:dyDescent="0.25">
      <c r="B45" s="17">
        <v>42</v>
      </c>
      <c r="C45" s="17" t="s">
        <v>816</v>
      </c>
      <c r="D45" s="25" t="s">
        <v>828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812</v>
      </c>
    </row>
    <row r="46" spans="2:9" x14ac:dyDescent="0.25">
      <c r="B46" s="17">
        <v>43</v>
      </c>
      <c r="C46" s="17" t="s">
        <v>816</v>
      </c>
      <c r="D46" s="25" t="s">
        <v>817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812</v>
      </c>
    </row>
    <row r="47" spans="2:9" x14ac:dyDescent="0.25">
      <c r="B47" s="17">
        <v>44</v>
      </c>
      <c r="C47" s="17" t="s">
        <v>815</v>
      </c>
      <c r="D47" s="21" t="s">
        <v>795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815</v>
      </c>
      <c r="D48" s="21" t="s">
        <v>788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787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2026-10-09T11:51:10Z</dcterms:modified>
</cp:coreProperties>
</file>